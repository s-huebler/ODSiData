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sophiehuebler/Downloads/"/>
    </mc:Choice>
  </mc:AlternateContent>
  <xr:revisionPtr revIDLastSave="0" documentId="13_ncr:1_{A0794DF7-F67B-2B47-8DB3-80665E29F564}" xr6:coauthVersionLast="47" xr6:coauthVersionMax="47" xr10:uidLastSave="{00000000-0000-0000-0000-000000000000}"/>
  <bookViews>
    <workbookView xWindow="-37480" yWindow="1820" windowWidth="36020" windowHeight="19560" activeTab="1" xr2:uid="{00000000-000D-0000-FFFF-FFFF00000000}"/>
  </bookViews>
  <sheets>
    <sheet name="Samarkhazan2025_refs" sheetId="1" r:id="rId1"/>
    <sheet name="Sheet1" sheetId="3" r:id="rId2"/>
    <sheet name="note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a="1"/>
  <c r="B2" i="3" s="1"/>
  <c r="B3" i="3" a="1"/>
  <c r="B3" i="3" s="1"/>
  <c r="B4" i="3" a="1"/>
  <c r="B4" i="3" s="1"/>
  <c r="B5" i="3" a="1"/>
  <c r="B5" i="3" s="1"/>
  <c r="B6" i="3" a="1"/>
  <c r="B6" i="3" s="1"/>
  <c r="B7" i="3" a="1"/>
  <c r="B7" i="3" s="1"/>
  <c r="B8" i="3" a="1"/>
  <c r="B8" i="3" s="1"/>
  <c r="B9" i="3" a="1"/>
  <c r="B9" i="3" s="1"/>
  <c r="B10" i="3" a="1"/>
  <c r="B10" i="3" s="1"/>
  <c r="B11" i="3" a="1"/>
  <c r="B11" i="3" s="1"/>
  <c r="B12" i="3" a="1"/>
  <c r="B12" i="3" s="1"/>
  <c r="B13" i="3" a="1"/>
  <c r="B13" i="3" s="1"/>
  <c r="B14" i="3" a="1"/>
  <c r="B14" i="3" s="1"/>
  <c r="B15" i="3" a="1"/>
  <c r="B15" i="3" s="1"/>
  <c r="B16" i="3" a="1"/>
  <c r="B16" i="3" s="1"/>
  <c r="B17" i="3" a="1"/>
  <c r="B17" i="3" s="1"/>
  <c r="B18" i="3" a="1"/>
  <c r="B18" i="3" s="1"/>
  <c r="B19" i="3" a="1"/>
  <c r="B19" i="3" s="1"/>
  <c r="B20" i="3" a="1"/>
  <c r="B20" i="3" s="1"/>
  <c r="B21" i="3" a="1"/>
  <c r="B21" i="3" s="1"/>
  <c r="B22" i="3" a="1"/>
  <c r="B22" i="3" s="1"/>
  <c r="B23" i="3" a="1"/>
  <c r="B23" i="3" s="1"/>
  <c r="B24" i="3" a="1"/>
  <c r="B24" i="3" s="1"/>
  <c r="B25" i="3" a="1"/>
  <c r="B25" i="3" s="1"/>
  <c r="B26" i="3" a="1"/>
  <c r="B26" i="3" s="1"/>
  <c r="B27" i="3" a="1"/>
  <c r="B27" i="3" s="1"/>
  <c r="B28" i="3" a="1"/>
  <c r="B28" i="3" s="1"/>
  <c r="B29" i="3" a="1"/>
  <c r="B29" i="3" s="1"/>
  <c r="B30" i="3" a="1"/>
  <c r="B30" i="3" s="1"/>
  <c r="B31" i="3" a="1"/>
  <c r="B31" i="3" s="1"/>
  <c r="B32" i="3" a="1"/>
  <c r="B32" i="3" s="1"/>
  <c r="B33" i="3" a="1"/>
  <c r="B33" i="3" s="1"/>
  <c r="B1" i="3" a="1"/>
  <c r="B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<sst xmlns="http://schemas.openxmlformats.org/spreadsheetml/2006/main" count="338" uniqueCount="338">
  <si>
    <t>number</t>
  </si>
  <si>
    <t>full_citation</t>
  </si>
  <si>
    <t>abbreviated_citation</t>
  </si>
  <si>
    <t>doi</t>
  </si>
  <si>
    <t>Torfi E, Bahreiny SS, Saki N, et al. Evaluation of Pro-BNP biomarker in heart failure patients and its relationship with complete blood count parameters: A case–control study. Health Sci Rep. 2024;7(9):e70083.</t>
  </si>
  <si>
    <t>Torfi_2024</t>
  </si>
  <si>
    <t>10.1002/hsr2.70083</t>
  </si>
  <si>
    <t>Fredricks DN. The gut microbiota and graft-versus-host disease. J Clin Invest. 2019;129(5):1808–17.</t>
  </si>
  <si>
    <t>Fredricks_2019</t>
  </si>
  <si>
    <t>10.1172/JCI125797</t>
  </si>
  <si>
    <t>Chang CC, Hayase E, Jenq RR. The role of microbiota in allogeneic hematopoietic stem cell transplantation. Expert Opin Biol Ther. 2021;21(8):1121–31.</t>
  </si>
  <si>
    <t>Chang_2021</t>
  </si>
  <si>
    <t>10.1080/14712598.2021.1872541</t>
  </si>
  <si>
    <t>Oh B, Boyle F, Pavlakis N, et al. Emerging evidence of the gut Microbiome in chemotherapy: A clinical review. Front Oncol. 2021;11:706331.</t>
  </si>
  <si>
    <t>Oh_2021</t>
  </si>
  <si>
    <t>10.3389/fonc.2021.706331</t>
  </si>
  <si>
    <t>Henig I, Yehudai-Ofir D, Zuckerman T. The clinical role of the gut Microbiome and fecal microbiota transplantation in allogeneic stem cell transplantation. Haematologica. 2021;106(4):933–46.</t>
  </si>
  <si>
    <t>Henig_2021</t>
  </si>
  <si>
    <t>10.3324/haematol.2020.247395</t>
  </si>
  <si>
    <t>Ouyang J, Isnard S, Lin J et al. Treating from the inside out: relevance of fecal microbiota transplantation to counteract gut damage in GVHD and HIV infection. Front Med. 2020;Volume 7–2020.</t>
  </si>
  <si>
    <t>Ouyang_2020</t>
  </si>
  <si>
    <t>10.3389/fmed.2020.00421</t>
  </si>
  <si>
    <t>Tawara I, Liu C, Tamaki H, et al. Influence of donor microbiota on the severity of experimental graft-versus-host-disease. Biol Blood Marrow Transpl. 2013;19(1):164–8.</t>
  </si>
  <si>
    <t>Tawara_2013</t>
  </si>
  <si>
    <t>10.1016/j.bbmt.2012.09.001</t>
  </si>
  <si>
    <t>Yue X, Zhou H, Wang S, Chen X, Xiao H. Gut microbiota, microbiota-derived metabolites, and graft-versus-host disease. Cancer Med. 2024;13(3):e6799.</t>
  </si>
  <si>
    <t>Yue_2024</t>
  </si>
  <si>
    <t>10.1002/cam4.6799</t>
  </si>
  <si>
    <t>Galloway-Peña JR, Shi Y, Peterson CB, et al. Gut Microbiome signatures are predictive of infectious risk following induction therapy for acute myeloid leukemia. Clin Infect Dis. 2020;71(1):63–71.</t>
  </si>
  <si>
    <t>Galloway-Peña_2020</t>
  </si>
  <si>
    <t>10.1093/cid/ciz777</t>
  </si>
  <si>
    <t>Montassier E, Gastinne T, Vangay P, et al. Chemotherapy-driven dysbiosis in the intestinal Microbiome. Aliment Pharmacol Ther. 2015;42(5):515–28.</t>
  </si>
  <si>
    <t>Montassier_2015</t>
  </si>
  <si>
    <t>10.1111/apt.13302</t>
  </si>
  <si>
    <t>Liang J, Liu G, Wang W, Xue H. Causal relationships between gut microbiota and lymphoma: a bidirectional Mendelian randomization study. Front Cell Infect Microbiol. 2024;14:1374775.</t>
  </si>
  <si>
    <t>Liang_2024</t>
  </si>
  <si>
    <t>10.3389/fcimb.2024.1374775</t>
  </si>
  <si>
    <t>Rafei H, Jenq RR. Microbiome-intestine cross talk during acute graft-versus-host disease. Blood. 2020;136(4):401–9.</t>
  </si>
  <si>
    <t>Rafei&amp;Jenq_2020</t>
  </si>
  <si>
    <t>10.1182/blood.2019000950</t>
  </si>
  <si>
    <t>Stein-Thoeringer CK, Nichols KB, Lazrak A, et al. Lactose drives Enterococcus expansion to promote graft-versus-host disease. Science. 2019;366(6469):1143–9.</t>
  </si>
  <si>
    <t>Stein-Thoeringer_2019</t>
  </si>
  <si>
    <t>10.1126/science.aax3760</t>
  </si>
  <si>
    <t>Weber D, Jenq RR, Peled JU, et al. Microbiota disruption induced by early use of Broad-Spectrum antibiotics is an independent risk factor of outcome after allogeneic stem cell transplantation. Biol Blood Marrow Transpl. 2017;23(5):845–52.</t>
  </si>
  <si>
    <t>Weber_2017</t>
  </si>
  <si>
    <t>10.1016/j.bbmt.2017.02.006</t>
  </si>
  <si>
    <t>Li Z, Ke X, Zuo D, Wang Z, Fang F, Li B. New insights into the relationship between gut microbiota and radiotherapy for Cancer. Nutrients. 2022;15(1).</t>
  </si>
  <si>
    <t>Li_2022</t>
  </si>
  <si>
    <t>10.3390/nu15010048</t>
  </si>
  <si>
    <t>Köhler N, Zeiser R. Intestinal microbiota influence immune tolerance post allogeneic hematopoietic cell transplantation and intestinal GVHD. Front Immunol. 2018;9:3179.</t>
  </si>
  <si>
    <t>Köhler&amp;Zeiser_2018</t>
  </si>
  <si>
    <t>10.3389/fimmu.2018.03179</t>
  </si>
  <si>
    <t>Staffas A, Burgos da Silva M, van den Brink MR. The intestinal microbiota in allogeneic hematopoietic cell transplant and graft-versus-host disease. Blood. 2017;129(8):927–33.</t>
  </si>
  <si>
    <t>Staffas_2017</t>
  </si>
  <si>
    <t>10.1182/blood-2016-09-691394</t>
  </si>
  <si>
    <t>Peled JU, Gomes ALC, Devlin SM, et al. Microbiota as predictor of mortality in allogeneic Hematopoietic-Cell transplantation. N Engl J Med. 2020;382(9):822–34.</t>
  </si>
  <si>
    <t>Peled_2020</t>
  </si>
  <si>
    <t>10.1056/NEJMoa1900623</t>
  </si>
  <si>
    <t>Duarte LRF, Pinho V, Rezende BM, Teixeira MM. Resolution of inflammation in acute Graft-Versus-Host-Disease: advances and perspectives. Biomolecules. 2022;12(1).</t>
  </si>
  <si>
    <t>Duarte_2022</t>
  </si>
  <si>
    <t>10.3390/biom12010075</t>
  </si>
  <si>
    <t>Panahi P, Hashemian AH, Payandeh M, Taghadosi M, Nomanpour B. Gut microbiota and graft-versus-host disease in hematopoietic stem cell transplant patients. Iran J Microbiol. 2024;16(5):648–54.</t>
  </si>
  <si>
    <t>Panahi_2024</t>
  </si>
  <si>
    <t>10.18502/ijm.v16i5.16800</t>
  </si>
  <si>
    <t>Hu X, Ma C, Kong X. Gut dysbiosis and fecal microbiota transplantation in pancreatic cancer: current status and perspectives. Cancer Screen Prev. 2024;3(3):170–83.</t>
  </si>
  <si>
    <t>Hu_2024</t>
  </si>
  <si>
    <t>10.14218/CSP.2024.00017</t>
  </si>
  <si>
    <t>Yamamoto A, Kambara Y, Fujiwara H. Impact of oral microbiota on pathophysiology of GVHD. Front Immunol. 2023;14:1132983.</t>
  </si>
  <si>
    <t>Yamamoto_2023</t>
  </si>
  <si>
    <t>10.3389/fimmu.2023.1132983</t>
  </si>
  <si>
    <t>Häcker G. GVHD prediction based on the Microbiome. Blood. 2022;140(22):2313–4.</t>
  </si>
  <si>
    <t>Häcker_2022</t>
  </si>
  <si>
    <t>10.1182/blood.2022017462</t>
  </si>
  <si>
    <t>van Lier YF, Vos J, Blom B, Hazenberg MD. Allogeneic hematopoietic cell transplantation, the microbiome, and graft-versus-host disease. Gut Microbes. 2023;15(1):2178805.</t>
  </si>
  <si>
    <t>van Lier_2023</t>
  </si>
  <si>
    <t>10.1080/19490976.2023.2178805</t>
  </si>
  <si>
    <t>Schluter J, Peled JU, Taylor BP, et al. The gut microbiota is associated with immune cell dynamics in humans. Nature. 2020;588(7837):303–7.</t>
  </si>
  <si>
    <t>Schluter_2020</t>
  </si>
  <si>
    <t>10.1038/s41586-020-2971-8</t>
  </si>
  <si>
    <t>Biagi E, Zama D, Nastasi C, et al. Gut microbiota trajectory in pediatric patients undergoing hematopoietic SCT. Bone Marrow Transplant. 2015;50(7):992–8.</t>
  </si>
  <si>
    <t>Biagi_2015</t>
  </si>
  <si>
    <t>10.1038/bmt.2015.16</t>
  </si>
  <si>
    <t>Biennier S, Fontaine M, Duquenoy A, Schwintner C, Doré J, Corvaia N. Narrative review: advancing dysbiosis treatment in Onco-Hematology with Microbiome-Based therapeutic approach. Microorganisms. 2024;12(11):2256.</t>
  </si>
  <si>
    <t>Biennier_2024</t>
  </si>
  <si>
    <t>10.3390/microorganisms12112256</t>
  </si>
  <si>
    <t>Faraci M, Bonaretti C, Dell’Orso G, et al. Association between oral and fecal Microbiome dysbiosis and treatment complications in pediatric patients undergoing allogeneic hematopoietic stem cell transplantation. Sci Rep. 2024;14(1):6708.</t>
  </si>
  <si>
    <t>Faraci_2024</t>
  </si>
  <si>
    <t>10.1038/s41598-024-55690-6</t>
  </si>
  <si>
    <t>Portincasa P, Bonfrate L, Vacca M et al. Gut microbiota and short chain fatty acids: implications in glucose homeostasis. Int J Mol Sci. 2022;23(3).</t>
  </si>
  <si>
    <t>Portincasa_2022</t>
  </si>
  <si>
    <t>10.3390/ijms23031105</t>
  </si>
  <si>
    <t>Chi M, Jiang T, He X, et al. Role of gut microbiota and oxidative stress in the progression of Transplant-Related complications following hematopoietic stem cell transplantation. Oxidative Med Cell Longev. 2023;2023(1):3532756.</t>
  </si>
  <si>
    <t>Chi_2023</t>
  </si>
  <si>
    <t>10.1155/2023/3532756</t>
  </si>
  <si>
    <t>Rooks MG, Garrett WS. Gut microbiota, metabolites and host immunity. Nat Rev Immunol. 2016;16(6):341–52.</t>
  </si>
  <si>
    <t>Rooks&amp;Garrett_2016</t>
  </si>
  <si>
    <t>10.1038/nri.2016.42</t>
  </si>
  <si>
    <t>Shono Y, Docampo MD, Peled JU, et al. Increased GVHD-related mortality with broad-spectrum antibiotic use after allogeneic hematopoietic stem cell transplantation in human patients and mice. Sci Transl Med. 2016;8(339):ra339371–339371.</t>
  </si>
  <si>
    <t>Shono_2016</t>
  </si>
  <si>
    <t>10.1126/scitranslmed.aaf2311</t>
  </si>
  <si>
    <t>Chunxi L, Haiyue L, Yanxia L, Jianbing P, Jin S. The gut microbiota and respiratory diseases: new evidence. J Immunol Res. 2020;2020:2340670.</t>
  </si>
  <si>
    <t>Chunxi_2020</t>
  </si>
  <si>
    <t>10.1155/2020/2340670</t>
  </si>
  <si>
    <t>Postler TS, Ghosh S. Understanding the holobiont: how microbial metabolites affect human health and shape the immune system. Cell Metab. 2017;26(1):110–30.</t>
  </si>
  <si>
    <t>Postler&amp;Ghosh_2017</t>
  </si>
  <si>
    <t>10.1016/j.cmet.2017.05.008</t>
  </si>
  <si>
    <t>Mathewson ND, Jenq R, Mathew AV, et al. Corrigendum: gut microbiome-derived metabolites modulate intestinal epithelial cell damage and mitigate graft-versus-host disease. Nat Immunol. 2016;17(10):1235.</t>
  </si>
  <si>
    <t>Mathewson_2016</t>
  </si>
  <si>
    <t>10.1038/ni1016-1235b</t>
  </si>
  <si>
    <t>Takahashi D, Hoshina N, Kabumoto Y, et al. Microbiota-derived butyrate limits the autoimmune response by promoting the differentiation of follicular regulatory T cells. EBioMedicine. 2020;58:102913.</t>
  </si>
  <si>
    <t>Takahashi_2020</t>
  </si>
  <si>
    <t>10.1016/j.ebiom.2020.102913</t>
  </si>
  <si>
    <t>Biliński J, Jasiński M, Basak GW. The role of fecal microbiota transplantation in the treatment of acute Graft-versus-Host disease. Biomedicines. 2022;10(4).</t>
  </si>
  <si>
    <t>Biliński_2022</t>
  </si>
  <si>
    <t>10.3390/biomedicines10040837</t>
  </si>
  <si>
    <t>Gavriilaki E, Christoforidi M, Ouranos K, et al. Alteration of gut microbiota composition and diversity in acute and/or chronic Graft-versus-Host disease following hematopoietic stem cell transplantation: A prospective cohort study. Int J Mol Sci. 2024;25(11):5789.</t>
  </si>
  <si>
    <t>Gavriilaki_2024</t>
  </si>
  <si>
    <t>10.3390/ijms25115789</t>
  </si>
  <si>
    <t>Gao F, Wu H, Wang L, Zhao Y, Huang H. Altered intestinal Microbiome and epithelial damage aggravate intestinal graft-versus-host disease. Gut Microbes. 2023;15(1):2221821.</t>
  </si>
  <si>
    <t>Gao_2023</t>
  </si>
  <si>
    <t>10.1080/19490976.2023.2221821</t>
  </si>
  <si>
    <t>Hill GR, Betts BC, Tkachev V, Kean LS, Blazar BR. Current concepts and advances in Graft-Versus-Host disease immunology. Annu Rev Immunol. 2021;39:19–49.</t>
  </si>
  <si>
    <t>Hill_2021</t>
  </si>
  <si>
    <t>10.1146/annurev-immunol-102119-073227</t>
  </si>
  <si>
    <t>Tang J, Xu L, Zeng Y, Gong F. Effect of gut microbiota on LPS-induced acute lung injury by regulating the TLR4/NF-kB signaling pathway. Int Immunopharmacol. 2021;91:107272.</t>
  </si>
  <si>
    <t>Tang_2021</t>
  </si>
  <si>
    <t>10.1016/j.intimp.2020.107272</t>
  </si>
  <si>
    <t>Eriguchi Y, Takashima S, Oka H, et al. Graft-versus-host disease disrupts intestinal microbial ecology by inhibiting Paneth cell production of α-defensins. Blood. 2012;120(1):223–31.</t>
  </si>
  <si>
    <t>Eriguchi_2012</t>
  </si>
  <si>
    <t>10.1182/blood-2011-12-401166</t>
  </si>
  <si>
    <t>Maleknia M, Ahmadirad N, Golab F, Katebi Y. Haj Mohamad Ebrahim Ketabforoush A. DNA methylation in cancer: epigenetic view of dietary and lifestyle factors. Epigenetics Insights. 2023;16:25168657231199893.</t>
  </si>
  <si>
    <t>Maleknia_2023</t>
  </si>
  <si>
    <t>10.1177/25168657231199893</t>
  </si>
  <si>
    <t>Wu J, Wang K, Wang X, Pang Y, Jiang C. The role of the gut Microbiome and its metabolites in metabolic diseases. Protein Cell. 2021;12(5):360–73.</t>
  </si>
  <si>
    <t>Wu_2021</t>
  </si>
  <si>
    <t>10.1007/s13238-020-00814-7</t>
  </si>
  <si>
    <t>Fujiwara H. Crosstalk between intestinal microbiota derived metabolites and tissues in allogeneic hematopoietic cell transplantation. Front Immunol. 2021;12:703298.</t>
  </si>
  <si>
    <t>Fujiwara_2021</t>
  </si>
  <si>
    <t>10.3389/fimmu.2021.703298</t>
  </si>
  <si>
    <t>Kiriyama Y, Nochi H. The role of gut Microbiota-Derived lithocholic acid, deoxycholic acid and their derivatives on the function and differentiation of immune cells. Microorganisms. 2023;11(11).</t>
  </si>
  <si>
    <t>Kiriyama&amp;Nochi_2023</t>
  </si>
  <si>
    <t>10.3390/microorganisms11112730</t>
  </si>
  <si>
    <t>Reddi S, Senyshyn L, Ebadi M, et al. Fecal microbiota transplantation to prevent acute graft-versus-host disease: pre-planned interim analysis of donor effect. Nat Commun. 2025;16(1):1034.</t>
  </si>
  <si>
    <t>Reddi_2025</t>
  </si>
  <si>
    <t>10.1038/s41467-025-56375-y</t>
  </si>
  <si>
    <t>Ilett EE, Jørgensen M, Noguera-Julian M, et al. Associations of the gut Microbiome and clinical factors with acute GVHD in allogeneic HSCT recipients. Blood Adv. 2020;4(22):5797–809.</t>
  </si>
  <si>
    <t>Ilett_2020</t>
  </si>
  <si>
    <t>10.1182/bloodadvances.2020002677</t>
  </si>
  <si>
    <t>Han L, Jin H, Zhou L et al. Intestinal microbiota at engraftment influence acute Graft-Versus-Host disease via the Treg/Th17 balance in Allo-HSCT recipients. Front Immunol. 2018;9.</t>
  </si>
  <si>
    <t>Han_2018</t>
  </si>
  <si>
    <t>10.3389/fimmu.2018.00669</t>
  </si>
  <si>
    <t>Khuat LT, Dave M, Murphy WJ. The emerging roles of the gut Microbiome in allogeneic hematopoietic stem cell transplantation. Gut Microbes. 2021;13(1):1966262.</t>
  </si>
  <si>
    <t>Khuat_2021</t>
  </si>
  <si>
    <t>10.1080/19490976.2021.1966262</t>
  </si>
  <si>
    <t>Kaźmierczak-Siedlecka K, Skonieczna-Żydecka K, Biliński J, et al. Gut Microbiome modulation and faecal microbiota transplantation following allogenic hematopoietic stem cell transplantation. Cancers (Basel). 2021;13:18.</t>
  </si>
  <si>
    <t>Kaźmierczak-Siedlecka_2021</t>
  </si>
  <si>
    <t>10.3390/cancers13184665</t>
  </si>
  <si>
    <t>Zhang D, Gao X, Li H, et al. The microbiota regulates hematopoietic stem cell fate decisions by controlling iron availability in bone marrow. Cell Stem Cell. 2022;29(2):232–e247237.</t>
  </si>
  <si>
    <t>Zhang_2022</t>
  </si>
  <si>
    <t>10.1016/j.stem.2021.12.009</t>
  </si>
  <si>
    <t>Li Y, Toothaker JM, Ben-Simon S et al. In utero human intestine harbors unique metabolome, including bacterial metabolites. JCI Insight. 2020;5(21).</t>
  </si>
  <si>
    <t>Li_2020</t>
  </si>
  <si>
    <t>10.1172/jci.insight.138751</t>
  </si>
  <si>
    <t>Pessa-Morikawa T, Husso A, Kärkkäinen O, et al. Maternal microbiota-derived metabolic profile in fetal murine intestine, brain and placenta. BMC Microbiol. 2022;22(1):46.</t>
  </si>
  <si>
    <t>Pessa-Morikawa_2022</t>
  </si>
  <si>
    <t>10.1186/s12866-022-02457-6</t>
  </si>
  <si>
    <t>Kimura I, Miyamoto J, Ohue-Kitano R et al. Maternal gut microbiota in pregnancy influences offspring metabolic phenotype in mice. Science. 2020;367(6481).</t>
  </si>
  <si>
    <t>Kimura_2020</t>
  </si>
  <si>
    <t>10.1126/science.aaw8429</t>
  </si>
  <si>
    <t>van de Pavert SA, Ferreira M, Domingues RG, et al. Maternal retinoids control type 3 innate lymphoid cells and set the offspring immunity. Nature. 2014;508(7494):123–7.</t>
  </si>
  <si>
    <t>van de Pavert_2014</t>
  </si>
  <si>
    <t>10.1038/nature13158</t>
  </si>
  <si>
    <t>Donald K, Finlay BB. Early-life interactions between the microbiota and immune system: impact on immune system development and atopic disease. Nat Rev Immunol. 2023;23(11):735–48.</t>
  </si>
  <si>
    <t>Donald&amp;Finlay_2023</t>
  </si>
  <si>
    <t>10.1038/s41577-023-00874-w</t>
  </si>
  <si>
    <t>Elahi S, Ertelt JM, Kinder JM, et al. Immunosuppressive CD71+ erythroid cells compromise neonatal host defence against infection. Nature. 2013;504(7478):158–62.</t>
  </si>
  <si>
    <t>Elahi_2013</t>
  </si>
  <si>
    <t>10.1038/nature12675</t>
  </si>
  <si>
    <t>Olin A, Henckel E, Chen Y, et al. Stereotypic immune system development in newborn children. Cell. 2018;174(5):1277–e12921214.</t>
  </si>
  <si>
    <t>Olin_2018</t>
  </si>
  <si>
    <t>10.1016/j.cell.2018.06.045</t>
  </si>
  <si>
    <t>Smith NL, Wissink E, Wang J, et al. Rapid proliferation and differentiation impairs the development of memory CD8+ T cells in early life. J Immunol. 2014;193(1):177–84.</t>
  </si>
  <si>
    <t>Smith_2014</t>
  </si>
  <si>
    <t>10.4049/jimmunol.1400553</t>
  </si>
  <si>
    <t>Arpaia N, Campbell C, Fan X, et al. Metabolites produced by commensal bacteria promote peripheral regulatory T-cell generation. Nature. 2013;504(7480):451–5.</t>
  </si>
  <si>
    <t>Arpaia_2013</t>
  </si>
  <si>
    <t>10.1038/nature12726</t>
  </si>
  <si>
    <t>Pandiyan P, Bhaskaran N, Zou M, Schneider E, Jayaraman S, Huehn J. Microbiome dependent regulation of T(regs) and Th17 cells in mucosa. Front Immunol. 2019;10:426.</t>
  </si>
  <si>
    <t>Pandiyan_2019</t>
  </si>
  <si>
    <t>10.3389/fimmu.2019.00426</t>
  </si>
  <si>
    <t>Henrick BM, Rodriguez L, Lakshmikanth T, et al. Bifidobacteria-mediated immune system imprinting early in life. Cell. 2021;184(15):3884–e38983811.</t>
  </si>
  <si>
    <t>Henrick_2021</t>
  </si>
  <si>
    <t>10.1016/j.cell.2021.05.030</t>
  </si>
  <si>
    <t>Laursen MF, Sakanaka M, von Burg N, et al. Bifidobacterium species associated with breastfeeding produce aromatic lactic acids in the infant gut. Nat Microbiol. 2021;6(11):1367–82.</t>
  </si>
  <si>
    <t>Laursen_2021</t>
  </si>
  <si>
    <t>10.1038/s41564-021-00970-4</t>
  </si>
  <si>
    <t>Zheng D, Liwinski T, Elinav E. Interaction between microbiota and immunity in health and disease. Cell Res. 2020;30(6):492–506.</t>
  </si>
  <si>
    <t>Zheng_2020</t>
  </si>
  <si>
    <t>10.1038/s41422-020-0332-7</t>
  </si>
  <si>
    <t>Devkota S, Wang Y, Musch MW, et al. Dietary-fat-induced taurocholic acid promotes pathobiont expansion and colitis in Il10-/- mice. Nature. 2012;487(7405):104–8.</t>
  </si>
  <si>
    <t>Devkota_2012</t>
  </si>
  <si>
    <t>10.1038/nature11225</t>
  </si>
  <si>
    <t>Cignarella F, Cantoni C, Ghezzi L, et al. Intermittent fasting confers protection in CNS autoimmunity by altering the gut microbiota. Cell Metab. 2018;27(6):1222–e12351226.</t>
  </si>
  <si>
    <t>Cignarella_2018</t>
  </si>
  <si>
    <t>10.1016/j.cmet.2018.05.006</t>
  </si>
  <si>
    <t>Song X, Sun X, Oh SF, et al. Microbial bile acid metabolites modulate gut RORγ(+) regulatory T cell homeostasis. Nature. 2020;577(7790):410–5.</t>
  </si>
  <si>
    <t>Song_2020</t>
  </si>
  <si>
    <t>10.1038/s41586-019-1865-0</t>
  </si>
  <si>
    <t>Erturk-Hasdemir D, Oh SF, Okan NA, et al. Symbionts exploit complex signaling to educate the immune system. Proc Natl Acad Sci U S A. 2019;116(52):26157–66.</t>
  </si>
  <si>
    <t>Erturk-Hasdemir_2019</t>
  </si>
  <si>
    <t>10.1073/pnas.1915978116</t>
  </si>
  <si>
    <t>Ramakrishna C, Kujawski M, Chu H, Li L, Mazmanian SK, Cantin EM. Bacteroides fragilis polysaccharide A induces IL-10 secreting B and T cells that prevent viral encephalitis. Nat Commun. 2019;10(1):2153.</t>
  </si>
  <si>
    <t>Ramakrishna_2019</t>
  </si>
  <si>
    <t>10.1038/s41467-019-09884-6</t>
  </si>
  <si>
    <t>Omenetti S, Bussi C, Metidji A, et al. The intestine harbors functionally distinct homeostatic Tissue-Resident and inflammatory Th17 cells. Immunity. 2019;51(1):77–e8976.</t>
  </si>
  <si>
    <t>Omenetti_2019</t>
  </si>
  <si>
    <t>10.1016/j.immuni.2019.05.004</t>
  </si>
  <si>
    <t>Mann ER, Lam YK, Uhlig HH. Short-chain fatty acids: linking diet, the Microbiome and immunity. Nat Rev Immunol. 2024;24(8):577–95.</t>
  </si>
  <si>
    <t>Mann_2024</t>
  </si>
  <si>
    <t>10.1038/s41577-024-01014-8</t>
  </si>
  <si>
    <t>Sun M, Wu W, Liu Z, Cong Y. Microbiota metabolite short chain fatty acids, GPCR, and inflammatory bowel diseases. J Gastroenterol. 2017;52(1):1–8.</t>
  </si>
  <si>
    <t>Sun_2017</t>
  </si>
  <si>
    <t>10.1007/s00535-016-1242-9</t>
  </si>
  <si>
    <t>Zhao Y, Chen F, Wu W, et al. GPR43 mediates microbiota metabolite SCFA regulation of antimicrobial peptide expression in intestinal epithelial cells via activation of mTOR and STAT3. Mucosal Immunol. 2018;11(3):752–62.</t>
  </si>
  <si>
    <t>Zhao_2018</t>
  </si>
  <si>
    <t>10.1038/mi.2017.118</t>
  </si>
  <si>
    <t>Thomas SP, Denu JM. Short-chain fatty acids activate acetyltransferase p300. Elife. 2021;10.</t>
  </si>
  <si>
    <t>Thomas&amp;Denu_2021</t>
  </si>
  <si>
    <t>10.7554/eLife.72171</t>
  </si>
  <si>
    <t>Chang PV, Hao L, Offermanns S, Medzhitov R. The microbial metabolite butyrate regulates intestinal macrophage function via histone deacetylase Inhibition. Proc Natl Acad Sci U S A. 2014;111(6):2247–52.</t>
  </si>
  <si>
    <t>Chang_2014</t>
  </si>
  <si>
    <t>10.1073/pnas.1322269111</t>
  </si>
  <si>
    <t>Elce A, Amato F, Zarrilli F, et al. Butyrate modulating effects on pro-inflammatory pathways in human intestinal epithelial cells. Benef Microbes. 2017;8(5):841–7.</t>
  </si>
  <si>
    <t>Elce_2017</t>
  </si>
  <si>
    <t>10.3920/BM2016.0197</t>
  </si>
  <si>
    <t>Grouls M, Janssen AWF, Duivenvoorde LPM, Hooiveld G, Bouwmeester H, van der Zande M. Differential gene expression in iPSC-derived human intestinal epithelial cell layers following exposure to two concentrations of butyrate, propionate and acetate. Sci Rep. 2022;12(1):13988.</t>
  </si>
  <si>
    <t>Grouls_2022</t>
  </si>
  <si>
    <t>10.1038/s41598-022-17296-8</t>
  </si>
  <si>
    <t>Schulthess J, Pandey S, Capitani M, et al. The short chain fatty acid butyrate imprints an antimicrobial program in macrophages. Immunity. 2019;50(2):432–e445437.</t>
  </si>
  <si>
    <t>Schulthess_2019</t>
  </si>
  <si>
    <t>10.1016/j.immuni.2018.12.018</t>
  </si>
  <si>
    <t>Fellows R, Denizot J, Stellato C, et al. Microbiota derived short chain fatty acids promote histone crotonylation in the colon through histone deacetylases. Nat Commun. 2018;9(1):105.</t>
  </si>
  <si>
    <t>Fellows_2018</t>
  </si>
  <si>
    <t>10.1038/s41467-017-02651-5</t>
  </si>
  <si>
    <t>Goudarzi A, Zhang D, Huang H, et al. Dynamic competing histone H4 K5K8 acetylation and butyrylation are hallmarks of highly active gene promoters. Mol Cell. 2016;62(2):169–80.</t>
  </si>
  <si>
    <t>Goudarzi_2016</t>
  </si>
  <si>
    <t>10.1016/j.molcel.2016.03.014</t>
  </si>
  <si>
    <t>Sarkar A, Mitra P, Lahiri A, et al. Butyrate limits inflammatory macrophage niche in NASH. Cell Death Dis. 2023;14(5):332.</t>
  </si>
  <si>
    <t>Sarkar_2023</t>
  </si>
  <si>
    <t>10.1038/s41419-023-05853-6</t>
  </si>
  <si>
    <t>Jenq RR, Ubeda C, Taur Y, et al. Regulation of intestinal inflammation by microbiota following allogeneic bone marrow transplantation. J Exp Med. 2012;209(5):903–11.</t>
  </si>
  <si>
    <t>Jenq_2012</t>
  </si>
  <si>
    <t>10.1084/jem.20112408</t>
  </si>
  <si>
    <t>Markey KA, MacDonald KP, Hill GR. The biology of graft-versus-host disease: experimental systems instructing clinical practice. Blood. 2014;124(3):354–62.</t>
  </si>
  <si>
    <t>Markey_2014</t>
  </si>
  <si>
    <t>10.1182/blood-2014-02-514745</t>
  </si>
  <si>
    <t>Lin D, Hu B, Li P, Zhao Y, Xu Y, Wu D. Roles of the intestinal microbiota and microbial metabolites in acute GVHD. Exp Hematol Oncol. 2021;10(1):49.</t>
  </si>
  <si>
    <t>Lin_2021</t>
  </si>
  <si>
    <t>10.1186/s40164-021-00240-3</t>
  </si>
  <si>
    <t>Koyama M, Mukhopadhyay P, Schuster IS, et al. MHC class II antigen presentation by the intestinal epithelium initiates Graft-versus-Host disease and is influenced by the microbiota. Immunity. 2019;51(5):885–e898887.</t>
  </si>
  <si>
    <t>Koyama_2019</t>
  </si>
  <si>
    <t>10.1016/j.immuni.2019.08.011</t>
  </si>
  <si>
    <t>Koyama M, Hippe DS, Srinivasan S, et al. Intestinal microbiota controls graft-versus-host disease independent of donor-host genetic disparity. Immunity. 2023;56(8):1876–e18931878.</t>
  </si>
  <si>
    <t>Koyama_2023</t>
  </si>
  <si>
    <t>10.1016/j.immuni.2023.06.024</t>
  </si>
  <si>
    <t>Payen M, Nicolis I, Robin M, et al. Functional and phylogenetic alterations in gut Microbiome are linked to graft-versus-host disease severity. Blood Adv. 2020;4(9):1824–32.</t>
  </si>
  <si>
    <t>Payen_2020</t>
  </si>
  <si>
    <t>10.1182/bloodadvances.2020001531</t>
  </si>
  <si>
    <t>Wang Y, Huang L, Huang T, et al. The gut Bacteria dysbiosis contributes to chronic Graft-Versus-Host disease associated with a Treg/Th1 ratio imbalance. Front Microbiol. 2022;13:813576.</t>
  </si>
  <si>
    <t>Wang_2022</t>
  </si>
  <si>
    <t>10.3389/fmicb.2022.813576</t>
  </si>
  <si>
    <t>Ye J, Lv L, Wu W, et al. Butyrate protects mice against Methionine-Choline-Deficient Diet-Induced Non-alcoholic steatohepatitis by improving gut barrier function, attenuating inflammation and reducing endotoxin levels. Front Microbiol. 2018;9:1967.</t>
  </si>
  <si>
    <t>Ye_2018</t>
  </si>
  <si>
    <t>10.3389/fmicb.2018.01967</t>
  </si>
  <si>
    <t>Sun B, Jia Y, Hong J, et al. Sodium butyrate ameliorates High-Fat-Diet-Induced Non-alcoholic fatty liver disease through peroxisome Proliferator-Activated receptor α-Mediated activation of β oxidation and suppression of inflammation. J Agric Food Chem. 2018;66(29):7633–42.</t>
  </si>
  <si>
    <t>Sun_2018</t>
  </si>
  <si>
    <t>10.1021/acs.jafc.8b01189</t>
  </si>
  <si>
    <t>Pabst O, Hornef MW, Schaap FG, Cerovic V, Clavel T, Bruns T. Gut-liver axis: barriers and functional circuits. Nat Rev Gastroenterol Hepatol. 2023;20(7):447–61.</t>
  </si>
  <si>
    <t>Pabst_2023</t>
  </si>
  <si>
    <t>10.1038/s41575-023-00771-6</t>
  </si>
  <si>
    <t>Tian P, Yang W, Guo X, et al. Early life gut microbiota sustains liver-resident natural killer cells maturation via the butyrate-IL-18 axis. Nat Commun. 2023;14(1):1710.</t>
  </si>
  <si>
    <t>Tian_2023</t>
  </si>
  <si>
    <t>10.1038/s41467-023-37419-7</t>
  </si>
  <si>
    <t>Jamil MO, Mineishi S. State-of-the-art acute and chronic GVHD treatment. Int J Hematol. 2015;101(5):452–66.</t>
  </si>
  <si>
    <t>Jamil&amp;Mineishi_2015</t>
  </si>
  <si>
    <t>10.1007/s12185-015-1785-1</t>
  </si>
  <si>
    <t>Yazdandoust E, Hajifathali A, Roshandel E, et al. Gut microbiota intervention by pre and probiotics can induce regulatory T cells and reduce the risk of severe acute GVHD following allogeneic hematopoietic stem cell transplantation. Transpl Immunol. 2023;78:101836.</t>
  </si>
  <si>
    <t>Yazdandoust_2023</t>
  </si>
  <si>
    <t>10.1016/j.trim.2023.101836</t>
  </si>
  <si>
    <t>Ladas EJ, Bhatia M, Chen L, et al. The safety and feasibility of probiotics in children and adolescents undergoing hematopoietic cell transplantation. Bone Marrow Transpl. 2016;51(2):262–6.</t>
  </si>
  <si>
    <t>Ladas_2016</t>
  </si>
  <si>
    <t>10.1038/bmt.2015.275</t>
  </si>
  <si>
    <t>Sofi MH, Wu Y, Ticer T et al. A single strain of Bacteroides fragilis protects gut integrity and reduces GVHD. JCI Insight. 2021;6(3).</t>
  </si>
  <si>
    <t>Sofi_2021</t>
  </si>
  <si>
    <t>10.1172/jci.insight.136841</t>
  </si>
  <si>
    <t>Gerbitz A, Schultz M, Wilke A, et al. Probiotic effects on experimental graft-versus-host disease: let them eat yogurt. Blood. 2004;103(11):4365–7.</t>
  </si>
  <si>
    <t>Gerbitz_2004</t>
  </si>
  <si>
    <t>10.1182/blood-2003-11-3769</t>
  </si>
  <si>
    <t>Beak JA, Park MJ, Kim SY, et al. FK506 and Lactobacillus acidophilus ameliorate acute graft-versus-host disease by modulating the T helper 17/regulatory T-cell balance. J Transl Med. 2022;20(1):104.</t>
  </si>
  <si>
    <t>Beak_2022</t>
  </si>
  <si>
    <t>10.1186/s12967-022-03303-z</t>
  </si>
  <si>
    <t>Hong T, Wang R, Wang X, et al. Interplay between the intestinal microbiota and acute graft-versus-host disease: experimental evidence and clinical significance. Front Immunol. 2021;12:644982.</t>
  </si>
  <si>
    <t>Hong_2021</t>
  </si>
  <si>
    <t>10.3389/fimmu.2021.644982</t>
  </si>
  <si>
    <t>Holmes ZC, Tang H, Liu C, et al. Prebiotic galactooligosaccharides interact with mouse gut microbiota to attenuate acute graft-versus-host disease. Blood. 2022;140(21):2300–4.</t>
  </si>
  <si>
    <t>Holmes_2022</t>
  </si>
  <si>
    <t>10.1182/blood.2021015178</t>
  </si>
  <si>
    <t>Muratore E, Leardini D, Baccelli F, Venturelli F, Prete A, Masetti R. Nutritional modulation of the gut Microbiome in allogeneic hematopoietic stem cell transplantation recipients. Front Nutr. 2022;9:993668.</t>
  </si>
  <si>
    <t>Muratore_2022</t>
  </si>
  <si>
    <t>10.3389/fnut.2022.993668</t>
  </si>
  <si>
    <t>Lakshmanan AP, Deola S, Terranegra A. The promise of precision nutrition for modulation of the gut microbiota as a novel therapeutic approach to acute Graft-versus-host disease. Transplantation. 2023;107(12):2497–509.</t>
  </si>
  <si>
    <t>Lakshmanan_2023</t>
  </si>
  <si>
    <t>10.1097/TP.0000000000004629</t>
  </si>
  <si>
    <t>Qiao X, Biliński J, Wang L, et al. Safety and efficacy of fecal microbiota transplantation in the treatment of graft-versus-host disease. Bone Marrow Transpl. 2023;58(1):10–9.</t>
  </si>
  <si>
    <t>Qiao_2023</t>
  </si>
  <si>
    <t>10.1038/s41409-022-01824-1</t>
  </si>
  <si>
    <t>Weber D, Meedt E, Poeck H, et al. Fecal microbiota transfer in acute Graft-versus-Host disease following allogeneic stem cell transplantation. Visc Med. 2024;40(4):1–6.</t>
  </si>
  <si>
    <t>Weber_2024</t>
  </si>
  <si>
    <t>10.1159/000541656</t>
  </si>
  <si>
    <t>Liu C, Frank DN, Horch M, et al. Associations between acute Gastrointestinal GvHD and the baseline gut microbiota of allogeneic hematopoietic stem cell transplant recipients and donors. Bone Marrow Transpl. 2017;52(12):1643–50.</t>
  </si>
  <si>
    <t>Liu_2017</t>
  </si>
  <si>
    <t>10.1038/bmt.2017.200</t>
  </si>
  <si>
    <t>Masetti R, Leardini D, Muratore E, et al. Gut microbiota diversity before allogeneic hematopoietic stem cell transplantation as a predictor of mortality in children. Blood. 2023;142(16):1387–98.</t>
  </si>
  <si>
    <t>Masetti_2023</t>
  </si>
  <si>
    <t>10.1182/blood.2023020026</t>
  </si>
  <si>
    <t>Zargari Marandi R, Jørgensen M, Ilett EE, et al. Pre-Transplant prediction of acute Graft-versus-Host disease using the gut Microbiome. Cells. 2022;11:24.</t>
  </si>
  <si>
    <t>Zargari Marandi_2022</t>
  </si>
  <si>
    <t>10.3390/cells11244089</t>
  </si>
  <si>
    <t>field</t>
  </si>
  <si>
    <t>value</t>
  </si>
  <si>
    <t>source_pdf</t>
  </si>
  <si>
    <t>The microbiome in graft-versus-host disease_ a tale of two ecosystems (1).pdf</t>
  </si>
  <si>
    <t>article_doi</t>
  </si>
  <si>
    <t>10.1186/s12967-025-06797-5</t>
  </si>
  <si>
    <t>doi_lookup_note</t>
  </si>
  <si>
    <t>DOIs were checked against Springer reference Article links plus publisher/PMC/Crossref-indexed landing pages when needed.</t>
  </si>
  <si>
    <t>doi_url_pattern</t>
  </si>
  <si>
    <t>https://doi.org/&lt;doi&gt;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</si>
</sst>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10"/>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1" fillId="2" borderId="0" xfId="0" applyFont="1" applyFill="1" applyAlignment="1">
      <alignment horizontal="center" vertical="top" wrapText="1"/>
    </xf>
    <xf numFmtId="1" fontId="2" fillId="0" borderId="0" xfId="0" applyNumberFormat="1" applyFont="1" applyAlignment="1">
      <alignment horizontal="center" vertical="top" wrapText="1"/>
    </xf>
    <xf numFmtId="49" fontId="2" fillId="0" borderId="0" xfId="0" applyNumberFormat="1" applyFont="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markhazan2025_refs_tbl" displayName="Samarkhazan2025_refs_tbl" ref="A1:D109">
  <tableColumns count="4">
    <tableColumn id="1" xr3:uid="{00000000-0010-0000-0000-000001000000}" name="number"/>
    <tableColumn id="2" xr3:uid="{00000000-0010-0000-0000-000002000000}" name="full_citation"/>
    <tableColumn id="3" xr3:uid="{00000000-0010-0000-0000-000003000000}" name="abbreviated_citation"/>
    <tableColumn id="4" xr3:uid="{00000000-0010-0000-0000-000004000000}" name="do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markhazan2025_notes_tbl" displayName="Samarkhazan2025_notes_tbl" ref="A1:B5">
  <tableColumns count="2">
    <tableColumn id="1" xr3:uid="{00000000-0010-0000-0100-000001000000}" name="field"/>
    <tableColumn id="2" xr3:uid="{00000000-0010-0000-0100-000002000000}" name="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9"/>
  <sheetViews>
    <sheetView topLeftCell="A26" workbookViewId="0">
      <selection activeCell="B105" sqref="B105"/>
    </sheetView>
  </sheetViews>
  <sheetFormatPr baseColWidth="10" defaultColWidth="8.83203125" defaultRowHeight="15"/>
  <cols>
    <col min="1" max="1" width="10" customWidth="1"/>
    <col min="2" max="2" width="92" customWidth="1"/>
    <col min="3" max="3" width="34" customWidth="1"/>
    <col min="4" max="4" width="36" customWidth="1"/>
  </cols>
  <sheetData>
    <row r="1" spans="1:4" ht="32" customHeight="1">
      <c r="A1" s="1" t="s">
        <v>0</v>
      </c>
      <c r="B1" s="3" t="s">
        <v>1</v>
      </c>
      <c r="C1" s="3" t="s">
        <v>2</v>
      </c>
      <c r="D1" s="3" t="s">
        <v>3</v>
      </c>
    </row>
    <row r="2" spans="1:4" ht="30">
      <c r="A2" s="4">
        <v>1</v>
      </c>
      <c r="B2" s="2" t="s">
        <v>4</v>
      </c>
      <c r="C2" s="2" t="s">
        <v>5</v>
      </c>
      <c r="D2" s="5" t="s">
        <v>6</v>
      </c>
    </row>
    <row r="3" spans="1:4">
      <c r="A3" s="4">
        <v>2</v>
      </c>
      <c r="B3" s="2" t="s">
        <v>7</v>
      </c>
      <c r="C3" s="2" t="s">
        <v>8</v>
      </c>
      <c r="D3" s="5" t="s">
        <v>9</v>
      </c>
    </row>
    <row r="4" spans="1:4" ht="30">
      <c r="A4" s="4">
        <v>3</v>
      </c>
      <c r="B4" s="2" t="s">
        <v>10</v>
      </c>
      <c r="C4" s="2" t="s">
        <v>11</v>
      </c>
      <c r="D4" s="5" t="s">
        <v>12</v>
      </c>
    </row>
    <row r="5" spans="1:4" ht="30">
      <c r="A5" s="4">
        <v>4</v>
      </c>
      <c r="B5" s="2" t="s">
        <v>13</v>
      </c>
      <c r="C5" s="2" t="s">
        <v>14</v>
      </c>
      <c r="D5" s="5" t="s">
        <v>15</v>
      </c>
    </row>
    <row r="6" spans="1:4" ht="30">
      <c r="A6" s="4">
        <v>5</v>
      </c>
      <c r="B6" s="2" t="s">
        <v>16</v>
      </c>
      <c r="C6" s="2" t="s">
        <v>17</v>
      </c>
      <c r="D6" s="5" t="s">
        <v>18</v>
      </c>
    </row>
    <row r="7" spans="1:4" ht="30">
      <c r="A7" s="4">
        <v>6</v>
      </c>
      <c r="B7" s="2" t="s">
        <v>19</v>
      </c>
      <c r="C7" s="2" t="s">
        <v>20</v>
      </c>
      <c r="D7" s="5" t="s">
        <v>21</v>
      </c>
    </row>
    <row r="8" spans="1:4" ht="30">
      <c r="A8" s="4">
        <v>7</v>
      </c>
      <c r="B8" s="2" t="s">
        <v>22</v>
      </c>
      <c r="C8" s="2" t="s">
        <v>23</v>
      </c>
      <c r="D8" s="5" t="s">
        <v>24</v>
      </c>
    </row>
    <row r="9" spans="1:4" ht="30">
      <c r="A9" s="4">
        <v>8</v>
      </c>
      <c r="B9" s="2" t="s">
        <v>25</v>
      </c>
      <c r="C9" s="2" t="s">
        <v>26</v>
      </c>
      <c r="D9" s="5" t="s">
        <v>27</v>
      </c>
    </row>
    <row r="10" spans="1:4" ht="30">
      <c r="A10" s="4">
        <v>9</v>
      </c>
      <c r="B10" s="2" t="s">
        <v>28</v>
      </c>
      <c r="C10" s="2" t="s">
        <v>29</v>
      </c>
      <c r="D10" s="5" t="s">
        <v>30</v>
      </c>
    </row>
    <row r="11" spans="1:4" ht="30">
      <c r="A11" s="4">
        <v>10</v>
      </c>
      <c r="B11" s="2" t="s">
        <v>31</v>
      </c>
      <c r="C11" s="2" t="s">
        <v>32</v>
      </c>
      <c r="D11" s="5" t="s">
        <v>33</v>
      </c>
    </row>
    <row r="12" spans="1:4" ht="30">
      <c r="A12" s="4">
        <v>11</v>
      </c>
      <c r="B12" s="2" t="s">
        <v>34</v>
      </c>
      <c r="C12" s="2" t="s">
        <v>35</v>
      </c>
      <c r="D12" s="5" t="s">
        <v>36</v>
      </c>
    </row>
    <row r="13" spans="1:4">
      <c r="A13" s="4">
        <v>12</v>
      </c>
      <c r="B13" s="2" t="s">
        <v>37</v>
      </c>
      <c r="C13" s="2" t="s">
        <v>38</v>
      </c>
      <c r="D13" s="5" t="s">
        <v>39</v>
      </c>
    </row>
    <row r="14" spans="1:4" ht="30">
      <c r="A14" s="4">
        <v>13</v>
      </c>
      <c r="B14" s="2" t="s">
        <v>40</v>
      </c>
      <c r="C14" s="2" t="s">
        <v>41</v>
      </c>
      <c r="D14" s="5" t="s">
        <v>42</v>
      </c>
    </row>
    <row r="15" spans="1:4" ht="30">
      <c r="A15" s="4">
        <v>14</v>
      </c>
      <c r="B15" s="2" t="s">
        <v>43</v>
      </c>
      <c r="C15" s="2" t="s">
        <v>44</v>
      </c>
      <c r="D15" s="5" t="s">
        <v>45</v>
      </c>
    </row>
    <row r="16" spans="1:4" ht="30">
      <c r="A16" s="4">
        <v>15</v>
      </c>
      <c r="B16" s="2" t="s">
        <v>46</v>
      </c>
      <c r="C16" s="2" t="s">
        <v>47</v>
      </c>
      <c r="D16" s="5" t="s">
        <v>48</v>
      </c>
    </row>
    <row r="17" spans="1:4" ht="30">
      <c r="A17" s="4">
        <v>16</v>
      </c>
      <c r="B17" s="2" t="s">
        <v>49</v>
      </c>
      <c r="C17" s="2" t="s">
        <v>50</v>
      </c>
      <c r="D17" s="5" t="s">
        <v>51</v>
      </c>
    </row>
    <row r="18" spans="1:4" ht="30">
      <c r="A18" s="4">
        <v>17</v>
      </c>
      <c r="B18" s="2" t="s">
        <v>52</v>
      </c>
      <c r="C18" s="2" t="s">
        <v>53</v>
      </c>
      <c r="D18" s="5" t="s">
        <v>54</v>
      </c>
    </row>
    <row r="19" spans="1:4" ht="30">
      <c r="A19" s="4">
        <v>18</v>
      </c>
      <c r="B19" s="2" t="s">
        <v>55</v>
      </c>
      <c r="C19" s="2" t="s">
        <v>56</v>
      </c>
      <c r="D19" s="5" t="s">
        <v>57</v>
      </c>
    </row>
    <row r="20" spans="1:4" ht="30">
      <c r="A20" s="4">
        <v>19</v>
      </c>
      <c r="B20" s="2" t="s">
        <v>58</v>
      </c>
      <c r="C20" s="2" t="s">
        <v>59</v>
      </c>
      <c r="D20" s="5" t="s">
        <v>60</v>
      </c>
    </row>
    <row r="21" spans="1:4" ht="30">
      <c r="A21" s="4">
        <v>20</v>
      </c>
      <c r="B21" s="2" t="s">
        <v>61</v>
      </c>
      <c r="C21" s="2" t="s">
        <v>62</v>
      </c>
      <c r="D21" s="5" t="s">
        <v>63</v>
      </c>
    </row>
    <row r="22" spans="1:4" ht="30">
      <c r="A22" s="4">
        <v>21</v>
      </c>
      <c r="B22" s="2" t="s">
        <v>64</v>
      </c>
      <c r="C22" s="2" t="s">
        <v>65</v>
      </c>
      <c r="D22" s="5" t="s">
        <v>66</v>
      </c>
    </row>
    <row r="23" spans="1:4">
      <c r="A23" s="4">
        <v>22</v>
      </c>
      <c r="B23" s="2" t="s">
        <v>67</v>
      </c>
      <c r="C23" s="2" t="s">
        <v>68</v>
      </c>
      <c r="D23" s="5" t="s">
        <v>69</v>
      </c>
    </row>
    <row r="24" spans="1:4">
      <c r="A24" s="4">
        <v>23</v>
      </c>
      <c r="B24" s="2" t="s">
        <v>70</v>
      </c>
      <c r="C24" s="2" t="s">
        <v>71</v>
      </c>
      <c r="D24" s="5" t="s">
        <v>72</v>
      </c>
    </row>
    <row r="25" spans="1:4" ht="30">
      <c r="A25" s="4">
        <v>24</v>
      </c>
      <c r="B25" s="2" t="s">
        <v>73</v>
      </c>
      <c r="C25" s="2" t="s">
        <v>74</v>
      </c>
      <c r="D25" s="5" t="s">
        <v>75</v>
      </c>
    </row>
    <row r="26" spans="1:4" ht="30">
      <c r="A26" s="4">
        <v>25</v>
      </c>
      <c r="B26" s="2" t="s">
        <v>76</v>
      </c>
      <c r="C26" s="2" t="s">
        <v>77</v>
      </c>
      <c r="D26" s="5" t="s">
        <v>78</v>
      </c>
    </row>
    <row r="27" spans="1:4" ht="30">
      <c r="A27" s="4">
        <v>26</v>
      </c>
      <c r="B27" s="2" t="s">
        <v>79</v>
      </c>
      <c r="C27" s="2" t="s">
        <v>80</v>
      </c>
      <c r="D27" s="5" t="s">
        <v>81</v>
      </c>
    </row>
    <row r="28" spans="1:4" ht="30">
      <c r="A28" s="4">
        <v>27</v>
      </c>
      <c r="B28" s="2" t="s">
        <v>82</v>
      </c>
      <c r="C28" s="2" t="s">
        <v>83</v>
      </c>
      <c r="D28" s="5" t="s">
        <v>84</v>
      </c>
    </row>
    <row r="29" spans="1:4" ht="30">
      <c r="A29" s="4">
        <v>28</v>
      </c>
      <c r="B29" s="2" t="s">
        <v>85</v>
      </c>
      <c r="C29" s="2" t="s">
        <v>86</v>
      </c>
      <c r="D29" s="5" t="s">
        <v>87</v>
      </c>
    </row>
    <row r="30" spans="1:4" ht="30">
      <c r="A30" s="4">
        <v>29</v>
      </c>
      <c r="B30" s="2" t="s">
        <v>88</v>
      </c>
      <c r="C30" s="2" t="s">
        <v>89</v>
      </c>
      <c r="D30" s="5" t="s">
        <v>90</v>
      </c>
    </row>
    <row r="31" spans="1:4" ht="30">
      <c r="A31" s="4">
        <v>30</v>
      </c>
      <c r="B31" s="2" t="s">
        <v>91</v>
      </c>
      <c r="C31" s="2" t="s">
        <v>92</v>
      </c>
      <c r="D31" s="5" t="s">
        <v>93</v>
      </c>
    </row>
    <row r="32" spans="1:4">
      <c r="A32" s="4">
        <v>31</v>
      </c>
      <c r="B32" s="2" t="s">
        <v>94</v>
      </c>
      <c r="C32" s="2" t="s">
        <v>95</v>
      </c>
      <c r="D32" s="5" t="s">
        <v>96</v>
      </c>
    </row>
    <row r="33" spans="1:4" ht="30">
      <c r="A33" s="4">
        <v>32</v>
      </c>
      <c r="B33" s="2" t="s">
        <v>97</v>
      </c>
      <c r="C33" s="2" t="s">
        <v>98</v>
      </c>
      <c r="D33" s="5" t="s">
        <v>99</v>
      </c>
    </row>
    <row r="34" spans="1:4" ht="30">
      <c r="A34" s="4">
        <v>33</v>
      </c>
      <c r="B34" s="2" t="s">
        <v>100</v>
      </c>
      <c r="C34" s="2" t="s">
        <v>101</v>
      </c>
      <c r="D34" s="5" t="s">
        <v>102</v>
      </c>
    </row>
    <row r="35" spans="1:4" ht="30">
      <c r="A35" s="4">
        <v>34</v>
      </c>
      <c r="B35" s="2" t="s">
        <v>103</v>
      </c>
      <c r="C35" s="2" t="s">
        <v>104</v>
      </c>
      <c r="D35" s="5" t="s">
        <v>105</v>
      </c>
    </row>
    <row r="36" spans="1:4" ht="30">
      <c r="A36" s="4">
        <v>35</v>
      </c>
      <c r="B36" s="2" t="s">
        <v>106</v>
      </c>
      <c r="C36" s="2" t="s">
        <v>107</v>
      </c>
      <c r="D36" s="5" t="s">
        <v>108</v>
      </c>
    </row>
    <row r="37" spans="1:4" ht="30">
      <c r="A37" s="4">
        <v>36</v>
      </c>
      <c r="B37" s="2" t="s">
        <v>109</v>
      </c>
      <c r="C37" s="2" t="s">
        <v>110</v>
      </c>
      <c r="D37" s="5" t="s">
        <v>111</v>
      </c>
    </row>
    <row r="38" spans="1:4" ht="30">
      <c r="A38" s="4">
        <v>37</v>
      </c>
      <c r="B38" s="2" t="s">
        <v>112</v>
      </c>
      <c r="C38" s="2" t="s">
        <v>113</v>
      </c>
      <c r="D38" s="5" t="s">
        <v>114</v>
      </c>
    </row>
    <row r="39" spans="1:4" ht="30">
      <c r="A39" s="4">
        <v>38</v>
      </c>
      <c r="B39" s="2" t="s">
        <v>115</v>
      </c>
      <c r="C39" s="2" t="s">
        <v>116</v>
      </c>
      <c r="D39" s="5" t="s">
        <v>117</v>
      </c>
    </row>
    <row r="40" spans="1:4" ht="30">
      <c r="A40" s="4">
        <v>39</v>
      </c>
      <c r="B40" s="2" t="s">
        <v>118</v>
      </c>
      <c r="C40" s="2" t="s">
        <v>119</v>
      </c>
      <c r="D40" s="5" t="s">
        <v>120</v>
      </c>
    </row>
    <row r="41" spans="1:4" ht="30">
      <c r="A41" s="4">
        <v>40</v>
      </c>
      <c r="B41" s="2" t="s">
        <v>121</v>
      </c>
      <c r="C41" s="2" t="s">
        <v>122</v>
      </c>
      <c r="D41" s="5" t="s">
        <v>123</v>
      </c>
    </row>
    <row r="42" spans="1:4" ht="30">
      <c r="A42" s="4">
        <v>41</v>
      </c>
      <c r="B42" s="2" t="s">
        <v>124</v>
      </c>
      <c r="C42" s="2" t="s">
        <v>125</v>
      </c>
      <c r="D42" s="5" t="s">
        <v>126</v>
      </c>
    </row>
    <row r="43" spans="1:4" ht="30">
      <c r="A43" s="4">
        <v>42</v>
      </c>
      <c r="B43" s="2" t="s">
        <v>127</v>
      </c>
      <c r="C43" s="2" t="s">
        <v>128</v>
      </c>
      <c r="D43" s="5" t="s">
        <v>129</v>
      </c>
    </row>
    <row r="44" spans="1:4" ht="30">
      <c r="A44" s="4">
        <v>43</v>
      </c>
      <c r="B44" s="2" t="s">
        <v>130</v>
      </c>
      <c r="C44" s="2" t="s">
        <v>131</v>
      </c>
      <c r="D44" s="5" t="s">
        <v>132</v>
      </c>
    </row>
    <row r="45" spans="1:4" ht="30">
      <c r="A45" s="4">
        <v>44</v>
      </c>
      <c r="B45" s="2" t="s">
        <v>133</v>
      </c>
      <c r="C45" s="2" t="s">
        <v>134</v>
      </c>
      <c r="D45" s="5" t="s">
        <v>135</v>
      </c>
    </row>
    <row r="46" spans="1:4" ht="30">
      <c r="A46" s="4">
        <v>45</v>
      </c>
      <c r="B46" s="2" t="s">
        <v>136</v>
      </c>
      <c r="C46" s="2" t="s">
        <v>137</v>
      </c>
      <c r="D46" s="5" t="s">
        <v>138</v>
      </c>
    </row>
    <row r="47" spans="1:4" ht="30">
      <c r="A47" s="4">
        <v>46</v>
      </c>
      <c r="B47" s="2" t="s">
        <v>139</v>
      </c>
      <c r="C47" s="2" t="s">
        <v>140</v>
      </c>
      <c r="D47" s="5" t="s">
        <v>141</v>
      </c>
    </row>
    <row r="48" spans="1:4" ht="30">
      <c r="A48" s="4">
        <v>47</v>
      </c>
      <c r="B48" s="2" t="s">
        <v>142</v>
      </c>
      <c r="C48" s="2" t="s">
        <v>143</v>
      </c>
      <c r="D48" s="5" t="s">
        <v>144</v>
      </c>
    </row>
    <row r="49" spans="1:4" ht="30">
      <c r="A49" s="4">
        <v>48</v>
      </c>
      <c r="B49" s="2" t="s">
        <v>145</v>
      </c>
      <c r="C49" s="2" t="s">
        <v>146</v>
      </c>
      <c r="D49" s="5" t="s">
        <v>147</v>
      </c>
    </row>
    <row r="50" spans="1:4" ht="30">
      <c r="A50" s="4">
        <v>49</v>
      </c>
      <c r="B50" s="2" t="s">
        <v>148</v>
      </c>
      <c r="C50" s="2" t="s">
        <v>149</v>
      </c>
      <c r="D50" s="5" t="s">
        <v>150</v>
      </c>
    </row>
    <row r="51" spans="1:4" ht="30">
      <c r="A51" s="4">
        <v>50</v>
      </c>
      <c r="B51" s="2" t="s">
        <v>151</v>
      </c>
      <c r="C51" s="2" t="s">
        <v>152</v>
      </c>
      <c r="D51" s="5" t="s">
        <v>153</v>
      </c>
    </row>
    <row r="52" spans="1:4" ht="30">
      <c r="A52" s="4">
        <v>51</v>
      </c>
      <c r="B52" s="2" t="s">
        <v>154</v>
      </c>
      <c r="C52" s="2" t="s">
        <v>155</v>
      </c>
      <c r="D52" s="5" t="s">
        <v>156</v>
      </c>
    </row>
    <row r="53" spans="1:4" ht="30">
      <c r="A53" s="4">
        <v>52</v>
      </c>
      <c r="B53" s="2" t="s">
        <v>157</v>
      </c>
      <c r="C53" s="2" t="s">
        <v>158</v>
      </c>
      <c r="D53" s="5" t="s">
        <v>159</v>
      </c>
    </row>
    <row r="54" spans="1:4" ht="30">
      <c r="A54" s="4">
        <v>53</v>
      </c>
      <c r="B54" s="2" t="s">
        <v>160</v>
      </c>
      <c r="C54" s="2" t="s">
        <v>161</v>
      </c>
      <c r="D54" s="5" t="s">
        <v>162</v>
      </c>
    </row>
    <row r="55" spans="1:4" ht="30">
      <c r="A55" s="4">
        <v>54</v>
      </c>
      <c r="B55" s="2" t="s">
        <v>163</v>
      </c>
      <c r="C55" s="2" t="s">
        <v>164</v>
      </c>
      <c r="D55" s="5" t="s">
        <v>165</v>
      </c>
    </row>
    <row r="56" spans="1:4" ht="30">
      <c r="A56" s="4">
        <v>55</v>
      </c>
      <c r="B56" s="2" t="s">
        <v>166</v>
      </c>
      <c r="C56" s="2" t="s">
        <v>167</v>
      </c>
      <c r="D56" s="5" t="s">
        <v>168</v>
      </c>
    </row>
    <row r="57" spans="1:4" ht="30">
      <c r="A57" s="4">
        <v>56</v>
      </c>
      <c r="B57" s="2" t="s">
        <v>169</v>
      </c>
      <c r="C57" s="2" t="s">
        <v>170</v>
      </c>
      <c r="D57" s="5" t="s">
        <v>171</v>
      </c>
    </row>
    <row r="58" spans="1:4" ht="30">
      <c r="A58" s="4">
        <v>57</v>
      </c>
      <c r="B58" s="2" t="s">
        <v>172</v>
      </c>
      <c r="C58" s="2" t="s">
        <v>173</v>
      </c>
      <c r="D58" s="5" t="s">
        <v>174</v>
      </c>
    </row>
    <row r="59" spans="1:4" ht="30">
      <c r="A59" s="4">
        <v>58</v>
      </c>
      <c r="B59" s="2" t="s">
        <v>175</v>
      </c>
      <c r="C59" s="2" t="s">
        <v>176</v>
      </c>
      <c r="D59" s="5" t="s">
        <v>177</v>
      </c>
    </row>
    <row r="60" spans="1:4">
      <c r="A60" s="4">
        <v>59</v>
      </c>
      <c r="B60" s="2" t="s">
        <v>178</v>
      </c>
      <c r="C60" s="2" t="s">
        <v>179</v>
      </c>
      <c r="D60" s="5" t="s">
        <v>180</v>
      </c>
    </row>
    <row r="61" spans="1:4" ht="30">
      <c r="A61" s="4">
        <v>60</v>
      </c>
      <c r="B61" s="2" t="s">
        <v>181</v>
      </c>
      <c r="C61" s="2" t="s">
        <v>182</v>
      </c>
      <c r="D61" s="5" t="s">
        <v>183</v>
      </c>
    </row>
    <row r="62" spans="1:4" ht="30">
      <c r="A62" s="4">
        <v>61</v>
      </c>
      <c r="B62" s="2" t="s">
        <v>184</v>
      </c>
      <c r="C62" s="2" t="s">
        <v>185</v>
      </c>
      <c r="D62" s="5" t="s">
        <v>186</v>
      </c>
    </row>
    <row r="63" spans="1:4" ht="30">
      <c r="A63" s="4">
        <v>62</v>
      </c>
      <c r="B63" s="2" t="s">
        <v>187</v>
      </c>
      <c r="C63" s="2" t="s">
        <v>188</v>
      </c>
      <c r="D63" s="5" t="s">
        <v>189</v>
      </c>
    </row>
    <row r="64" spans="1:4" ht="30">
      <c r="A64" s="4">
        <v>63</v>
      </c>
      <c r="B64" s="2" t="s">
        <v>190</v>
      </c>
      <c r="C64" s="2" t="s">
        <v>191</v>
      </c>
      <c r="D64" s="5" t="s">
        <v>192</v>
      </c>
    </row>
    <row r="65" spans="1:4" ht="30">
      <c r="A65" s="4">
        <v>64</v>
      </c>
      <c r="B65" s="2" t="s">
        <v>193</v>
      </c>
      <c r="C65" s="2" t="s">
        <v>194</v>
      </c>
      <c r="D65" s="5" t="s">
        <v>195</v>
      </c>
    </row>
    <row r="66" spans="1:4">
      <c r="A66" s="4">
        <v>65</v>
      </c>
      <c r="B66" s="2" t="s">
        <v>196</v>
      </c>
      <c r="C66" s="2" t="s">
        <v>197</v>
      </c>
      <c r="D66" s="5" t="s">
        <v>198</v>
      </c>
    </row>
    <row r="67" spans="1:4" ht="30">
      <c r="A67" s="4">
        <v>66</v>
      </c>
      <c r="B67" s="2" t="s">
        <v>199</v>
      </c>
      <c r="C67" s="2" t="s">
        <v>200</v>
      </c>
      <c r="D67" s="5" t="s">
        <v>201</v>
      </c>
    </row>
    <row r="68" spans="1:4" ht="30">
      <c r="A68" s="4">
        <v>67</v>
      </c>
      <c r="B68" s="2" t="s">
        <v>202</v>
      </c>
      <c r="C68" s="2" t="s">
        <v>203</v>
      </c>
      <c r="D68" s="5" t="s">
        <v>204</v>
      </c>
    </row>
    <row r="69" spans="1:4" ht="30">
      <c r="A69" s="4">
        <v>68</v>
      </c>
      <c r="B69" s="2" t="s">
        <v>205</v>
      </c>
      <c r="C69" s="2" t="s">
        <v>206</v>
      </c>
      <c r="D69" s="5" t="s">
        <v>207</v>
      </c>
    </row>
    <row r="70" spans="1:4" ht="30">
      <c r="A70" s="4">
        <v>69</v>
      </c>
      <c r="B70" s="2" t="s">
        <v>208</v>
      </c>
      <c r="C70" s="2" t="s">
        <v>209</v>
      </c>
      <c r="D70" s="5" t="s">
        <v>210</v>
      </c>
    </row>
    <row r="71" spans="1:4" ht="30">
      <c r="A71" s="4">
        <v>70</v>
      </c>
      <c r="B71" s="2" t="s">
        <v>211</v>
      </c>
      <c r="C71" s="2" t="s">
        <v>212</v>
      </c>
      <c r="D71" s="5" t="s">
        <v>213</v>
      </c>
    </row>
    <row r="72" spans="1:4" ht="30">
      <c r="A72" s="4">
        <v>71</v>
      </c>
      <c r="B72" s="2" t="s">
        <v>214</v>
      </c>
      <c r="C72" s="2" t="s">
        <v>215</v>
      </c>
      <c r="D72" s="5" t="s">
        <v>216</v>
      </c>
    </row>
    <row r="73" spans="1:4" ht="30">
      <c r="A73" s="4">
        <v>72</v>
      </c>
      <c r="B73" s="2" t="s">
        <v>217</v>
      </c>
      <c r="C73" s="2" t="s">
        <v>218</v>
      </c>
      <c r="D73" s="5" t="s">
        <v>219</v>
      </c>
    </row>
    <row r="74" spans="1:4" ht="30">
      <c r="A74" s="4">
        <v>73</v>
      </c>
      <c r="B74" s="2" t="s">
        <v>220</v>
      </c>
      <c r="C74" s="2" t="s">
        <v>221</v>
      </c>
      <c r="D74" s="5" t="s">
        <v>222</v>
      </c>
    </row>
    <row r="75" spans="1:4" ht="30">
      <c r="A75" s="4">
        <v>74</v>
      </c>
      <c r="B75" s="2" t="s">
        <v>223</v>
      </c>
      <c r="C75" s="2" t="s">
        <v>224</v>
      </c>
      <c r="D75" s="5" t="s">
        <v>225</v>
      </c>
    </row>
    <row r="76" spans="1:4">
      <c r="A76" s="4">
        <v>75</v>
      </c>
      <c r="B76" s="2" t="s">
        <v>226</v>
      </c>
      <c r="C76" s="2" t="s">
        <v>227</v>
      </c>
      <c r="D76" s="5" t="s">
        <v>228</v>
      </c>
    </row>
    <row r="77" spans="1:4" ht="30">
      <c r="A77" s="4">
        <v>76</v>
      </c>
      <c r="B77" s="2" t="s">
        <v>229</v>
      </c>
      <c r="C77" s="2" t="s">
        <v>230</v>
      </c>
      <c r="D77" s="5" t="s">
        <v>231</v>
      </c>
    </row>
    <row r="78" spans="1:4" ht="30">
      <c r="A78" s="4">
        <v>77</v>
      </c>
      <c r="B78" s="2" t="s">
        <v>232</v>
      </c>
      <c r="C78" s="2" t="s">
        <v>233</v>
      </c>
      <c r="D78" s="5" t="s">
        <v>234</v>
      </c>
    </row>
    <row r="79" spans="1:4" ht="45">
      <c r="A79" s="4">
        <v>78</v>
      </c>
      <c r="B79" s="2" t="s">
        <v>235</v>
      </c>
      <c r="C79" s="2" t="s">
        <v>236</v>
      </c>
      <c r="D79" s="5" t="s">
        <v>237</v>
      </c>
    </row>
    <row r="80" spans="1:4" ht="30">
      <c r="A80" s="4">
        <v>79</v>
      </c>
      <c r="B80" s="2" t="s">
        <v>238</v>
      </c>
      <c r="C80" s="2" t="s">
        <v>239</v>
      </c>
      <c r="D80" s="5" t="s">
        <v>240</v>
      </c>
    </row>
    <row r="81" spans="1:4" ht="30">
      <c r="A81" s="4">
        <v>80</v>
      </c>
      <c r="B81" s="2" t="s">
        <v>241</v>
      </c>
      <c r="C81" s="2" t="s">
        <v>242</v>
      </c>
      <c r="D81" s="5" t="s">
        <v>243</v>
      </c>
    </row>
    <row r="82" spans="1:4" ht="30">
      <c r="A82" s="4">
        <v>81</v>
      </c>
      <c r="B82" s="2" t="s">
        <v>244</v>
      </c>
      <c r="C82" s="2" t="s">
        <v>245</v>
      </c>
      <c r="D82" s="5" t="s">
        <v>246</v>
      </c>
    </row>
    <row r="83" spans="1:4">
      <c r="A83" s="4">
        <v>82</v>
      </c>
      <c r="B83" s="2" t="s">
        <v>247</v>
      </c>
      <c r="C83" s="2" t="s">
        <v>248</v>
      </c>
      <c r="D83" s="5" t="s">
        <v>249</v>
      </c>
    </row>
    <row r="84" spans="1:4" ht="30">
      <c r="A84" s="4">
        <v>83</v>
      </c>
      <c r="B84" s="2" t="s">
        <v>250</v>
      </c>
      <c r="C84" s="2" t="s">
        <v>251</v>
      </c>
      <c r="D84" s="5" t="s">
        <v>252</v>
      </c>
    </row>
    <row r="85" spans="1:4" ht="30">
      <c r="A85" s="4">
        <v>84</v>
      </c>
      <c r="B85" s="2" t="s">
        <v>253</v>
      </c>
      <c r="C85" s="2" t="s">
        <v>254</v>
      </c>
      <c r="D85" s="5" t="s">
        <v>255</v>
      </c>
    </row>
    <row r="86" spans="1:4" ht="30">
      <c r="A86" s="4">
        <v>85</v>
      </c>
      <c r="B86" s="2" t="s">
        <v>256</v>
      </c>
      <c r="C86" s="2" t="s">
        <v>257</v>
      </c>
      <c r="D86" s="5" t="s">
        <v>258</v>
      </c>
    </row>
    <row r="87" spans="1:4" ht="30">
      <c r="A87" s="4">
        <v>86</v>
      </c>
      <c r="B87" s="2" t="s">
        <v>259</v>
      </c>
      <c r="C87" s="2" t="s">
        <v>260</v>
      </c>
      <c r="D87" s="5" t="s">
        <v>261</v>
      </c>
    </row>
    <row r="88" spans="1:4" ht="30">
      <c r="A88" s="4">
        <v>87</v>
      </c>
      <c r="B88" s="2" t="s">
        <v>262</v>
      </c>
      <c r="C88" s="2" t="s">
        <v>263</v>
      </c>
      <c r="D88" s="5" t="s">
        <v>264</v>
      </c>
    </row>
    <row r="89" spans="1:4" ht="30">
      <c r="A89" s="4">
        <v>88</v>
      </c>
      <c r="B89" s="2" t="s">
        <v>265</v>
      </c>
      <c r="C89" s="2" t="s">
        <v>266</v>
      </c>
      <c r="D89" s="5" t="s">
        <v>267</v>
      </c>
    </row>
    <row r="90" spans="1:4" ht="30">
      <c r="A90" s="4">
        <v>89</v>
      </c>
      <c r="B90" s="2" t="s">
        <v>268</v>
      </c>
      <c r="C90" s="2" t="s">
        <v>269</v>
      </c>
      <c r="D90" s="5" t="s">
        <v>270</v>
      </c>
    </row>
    <row r="91" spans="1:4" ht="30">
      <c r="A91" s="4">
        <v>90</v>
      </c>
      <c r="B91" s="2" t="s">
        <v>271</v>
      </c>
      <c r="C91" s="2" t="s">
        <v>272</v>
      </c>
      <c r="D91" s="5" t="s">
        <v>273</v>
      </c>
    </row>
    <row r="92" spans="1:4" ht="45">
      <c r="A92" s="4">
        <v>91</v>
      </c>
      <c r="B92" s="2" t="s">
        <v>274</v>
      </c>
      <c r="C92" s="2" t="s">
        <v>275</v>
      </c>
      <c r="D92" s="5" t="s">
        <v>276</v>
      </c>
    </row>
    <row r="93" spans="1:4" ht="30">
      <c r="A93" s="4">
        <v>92</v>
      </c>
      <c r="B93" s="2" t="s">
        <v>277</v>
      </c>
      <c r="C93" s="2" t="s">
        <v>278</v>
      </c>
      <c r="D93" s="5" t="s">
        <v>279</v>
      </c>
    </row>
    <row r="94" spans="1:4" ht="30">
      <c r="A94" s="4">
        <v>93</v>
      </c>
      <c r="B94" s="2" t="s">
        <v>280</v>
      </c>
      <c r="C94" s="2" t="s">
        <v>281</v>
      </c>
      <c r="D94" s="5" t="s">
        <v>282</v>
      </c>
    </row>
    <row r="95" spans="1:4">
      <c r="A95" s="4">
        <v>94</v>
      </c>
      <c r="B95" s="2" t="s">
        <v>283</v>
      </c>
      <c r="C95" s="2" t="s">
        <v>284</v>
      </c>
      <c r="D95" s="5" t="s">
        <v>285</v>
      </c>
    </row>
    <row r="96" spans="1:4" ht="45">
      <c r="A96" s="4">
        <v>95</v>
      </c>
      <c r="B96" s="2" t="s">
        <v>286</v>
      </c>
      <c r="C96" s="2" t="s">
        <v>287</v>
      </c>
      <c r="D96" s="5" t="s">
        <v>288</v>
      </c>
    </row>
    <row r="97" spans="1:4" ht="30">
      <c r="A97" s="4">
        <v>96</v>
      </c>
      <c r="B97" s="2" t="s">
        <v>289</v>
      </c>
      <c r="C97" s="2" t="s">
        <v>290</v>
      </c>
      <c r="D97" s="5" t="s">
        <v>291</v>
      </c>
    </row>
    <row r="98" spans="1:4">
      <c r="A98" s="4">
        <v>97</v>
      </c>
      <c r="B98" s="2" t="s">
        <v>292</v>
      </c>
      <c r="C98" s="2" t="s">
        <v>293</v>
      </c>
      <c r="D98" s="5" t="s">
        <v>294</v>
      </c>
    </row>
    <row r="99" spans="1:4" ht="30">
      <c r="A99" s="4">
        <v>98</v>
      </c>
      <c r="B99" s="2" t="s">
        <v>295</v>
      </c>
      <c r="C99" s="2" t="s">
        <v>296</v>
      </c>
      <c r="D99" s="5" t="s">
        <v>297</v>
      </c>
    </row>
    <row r="100" spans="1:4" ht="30">
      <c r="A100" s="4">
        <v>99</v>
      </c>
      <c r="B100" s="2" t="s">
        <v>298</v>
      </c>
      <c r="C100" s="2" t="s">
        <v>299</v>
      </c>
      <c r="D100" s="5" t="s">
        <v>300</v>
      </c>
    </row>
    <row r="101" spans="1:4" ht="30">
      <c r="A101" s="4">
        <v>100</v>
      </c>
      <c r="B101" s="2" t="s">
        <v>301</v>
      </c>
      <c r="C101" s="2" t="s">
        <v>302</v>
      </c>
      <c r="D101" s="5" t="s">
        <v>303</v>
      </c>
    </row>
    <row r="102" spans="1:4" ht="30">
      <c r="A102" s="4">
        <v>101</v>
      </c>
      <c r="B102" s="2" t="s">
        <v>304</v>
      </c>
      <c r="C102" s="2" t="s">
        <v>305</v>
      </c>
      <c r="D102" s="5" t="s">
        <v>306</v>
      </c>
    </row>
    <row r="103" spans="1:4" ht="30">
      <c r="A103" s="4">
        <v>102</v>
      </c>
      <c r="B103" s="2" t="s">
        <v>307</v>
      </c>
      <c r="C103" s="2" t="s">
        <v>308</v>
      </c>
      <c r="D103" s="5" t="s">
        <v>309</v>
      </c>
    </row>
    <row r="104" spans="1:4" ht="30">
      <c r="A104" s="4">
        <v>103</v>
      </c>
      <c r="B104" s="2" t="s">
        <v>310</v>
      </c>
      <c r="C104" s="2" t="s">
        <v>311</v>
      </c>
      <c r="D104" s="5" t="s">
        <v>312</v>
      </c>
    </row>
    <row r="105" spans="1:4" ht="30">
      <c r="A105" s="4">
        <v>104</v>
      </c>
      <c r="B105" s="2" t="s">
        <v>313</v>
      </c>
      <c r="C105" s="2" t="s">
        <v>314</v>
      </c>
      <c r="D105" s="5" t="s">
        <v>315</v>
      </c>
    </row>
    <row r="106" spans="1:4" ht="30">
      <c r="A106" s="4">
        <v>105</v>
      </c>
      <c r="B106" s="2" t="s">
        <v>316</v>
      </c>
      <c r="C106" s="2" t="s">
        <v>317</v>
      </c>
      <c r="D106" s="5" t="s">
        <v>318</v>
      </c>
    </row>
    <row r="107" spans="1:4" ht="30">
      <c r="A107" s="4">
        <v>106</v>
      </c>
      <c r="B107" s="2" t="s">
        <v>319</v>
      </c>
      <c r="C107" s="2" t="s">
        <v>320</v>
      </c>
      <c r="D107" s="5" t="s">
        <v>321</v>
      </c>
    </row>
    <row r="108" spans="1:4" ht="30">
      <c r="A108" s="4">
        <v>107</v>
      </c>
      <c r="B108" s="2" t="s">
        <v>322</v>
      </c>
      <c r="C108" s="2" t="s">
        <v>323</v>
      </c>
      <c r="D108" s="5" t="s">
        <v>324</v>
      </c>
    </row>
    <row r="109" spans="1:4" ht="30">
      <c r="A109" s="4">
        <v>108</v>
      </c>
      <c r="B109" s="2" t="s">
        <v>325</v>
      </c>
      <c r="C109" s="2" t="s">
        <v>326</v>
      </c>
      <c r="D109" s="5" t="s">
        <v>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4B2E-6A13-AF40-BA34-1FE3B85A3E8C}">
  <dimension ref="A1:C33"/>
  <sheetViews>
    <sheetView tabSelected="1" workbookViewId="0">
      <selection activeCell="B1" sqref="B1:C33"/>
    </sheetView>
  </sheetViews>
  <sheetFormatPr baseColWidth="10" defaultRowHeight="15"/>
  <sheetData>
    <row r="1" spans="1:3">
      <c r="A1" s="6">
        <v>8</v>
      </c>
      <c r="B1" t="str" cm="1">
        <f t="array" ref="B1:C1">_xlfn.XLOOKUP(A1, Samarkhazan2025_refs!A:A, Samarkhazan2025_refs!C:D)</f>
        <v>Yue_2024</v>
      </c>
      <c r="C1" t="str">
        <v>10.1002/cam4.6799</v>
      </c>
    </row>
    <row r="2" spans="1:3">
      <c r="A2" s="6">
        <v>10</v>
      </c>
      <c r="B2" t="str" cm="1">
        <f t="array" ref="B2:C2">_xlfn.XLOOKUP(A2, Samarkhazan2025_refs!A:A, Samarkhazan2025_refs!C:D)</f>
        <v>Montassier_2015</v>
      </c>
      <c r="C2" t="str">
        <v>10.1111/apt.13302</v>
      </c>
    </row>
    <row r="3" spans="1:3">
      <c r="A3" s="6">
        <v>11</v>
      </c>
      <c r="B3" t="str" cm="1">
        <f t="array" ref="B3:C3">_xlfn.XLOOKUP(A3, Samarkhazan2025_refs!A:A, Samarkhazan2025_refs!C:D)</f>
        <v>Liang_2024</v>
      </c>
      <c r="C3" t="str">
        <v>10.3389/fcimb.2024.1374775</v>
      </c>
    </row>
    <row r="4" spans="1:3">
      <c r="A4" s="6">
        <v>8</v>
      </c>
      <c r="B4" t="str" cm="1">
        <f t="array" ref="B4:C4">_xlfn.XLOOKUP(A4, Samarkhazan2025_refs!A:A, Samarkhazan2025_refs!C:D)</f>
        <v>Yue_2024</v>
      </c>
      <c r="C4" t="str">
        <v>10.1002/cam4.6799</v>
      </c>
    </row>
    <row r="5" spans="1:3">
      <c r="A5" s="6">
        <v>12</v>
      </c>
      <c r="B5" t="str" cm="1">
        <f t="array" ref="B5:C5">_xlfn.XLOOKUP(A5, Samarkhazan2025_refs!A:A, Samarkhazan2025_refs!C:D)</f>
        <v>Rafei&amp;Jenq_2020</v>
      </c>
      <c r="C5" t="str">
        <v>10.1182/blood.2019000950</v>
      </c>
    </row>
    <row r="6" spans="1:3">
      <c r="A6" s="6">
        <v>2</v>
      </c>
      <c r="B6" t="str" cm="1">
        <f t="array" ref="B6:C6">_xlfn.XLOOKUP(A6, Samarkhazan2025_refs!A:A, Samarkhazan2025_refs!C:D)</f>
        <v>Fredricks_2019</v>
      </c>
      <c r="C6" t="str">
        <v>10.1172/JCI125797</v>
      </c>
    </row>
    <row r="7" spans="1:3">
      <c r="A7" s="6">
        <v>13</v>
      </c>
      <c r="B7" t="str" cm="1">
        <f t="array" ref="B7:C7">_xlfn.XLOOKUP(A7, Samarkhazan2025_refs!A:A, Samarkhazan2025_refs!C:D)</f>
        <v>Stein-Thoeringer_2019</v>
      </c>
      <c r="C7" t="str">
        <v>10.1126/science.aax3760</v>
      </c>
    </row>
    <row r="8" spans="1:3">
      <c r="A8" s="6">
        <v>15</v>
      </c>
      <c r="B8" t="str" cm="1">
        <f t="array" ref="B8:C8">_xlfn.XLOOKUP(A8, Samarkhazan2025_refs!A:A, Samarkhazan2025_refs!C:D)</f>
        <v>Li_2022</v>
      </c>
      <c r="C8" t="str">
        <v>10.3390/nu15010048</v>
      </c>
    </row>
    <row r="9" spans="1:3">
      <c r="A9" s="6">
        <v>16</v>
      </c>
      <c r="B9" t="str" cm="1">
        <f t="array" ref="B9:C9">_xlfn.XLOOKUP(A9, Samarkhazan2025_refs!A:A, Samarkhazan2025_refs!C:D)</f>
        <v>Köhler&amp;Zeiser_2018</v>
      </c>
      <c r="C9" t="str">
        <v>10.3389/fimmu.2018.03179</v>
      </c>
    </row>
    <row r="10" spans="1:3">
      <c r="A10" s="6">
        <v>27</v>
      </c>
      <c r="B10" t="str" cm="1">
        <f t="array" ref="B10:C10">_xlfn.XLOOKUP(A10, Samarkhazan2025_refs!A:A, Samarkhazan2025_refs!C:D)</f>
        <v>Biennier_2024</v>
      </c>
      <c r="C10" t="str">
        <v>10.3390/microorganisms12112256</v>
      </c>
    </row>
    <row r="11" spans="1:3">
      <c r="A11" s="6">
        <v>28</v>
      </c>
      <c r="B11" t="str" cm="1">
        <f t="array" ref="B11:C11">_xlfn.XLOOKUP(A11, Samarkhazan2025_refs!A:A, Samarkhazan2025_refs!C:D)</f>
        <v>Faraci_2024</v>
      </c>
      <c r="C11" t="str">
        <v>10.1038/s41598-024-55690-6</v>
      </c>
    </row>
    <row r="12" spans="1:3">
      <c r="A12" s="6">
        <v>29</v>
      </c>
      <c r="B12" t="str" cm="1">
        <f t="array" ref="B12:C12">_xlfn.XLOOKUP(A12, Samarkhazan2025_refs!A:A, Samarkhazan2025_refs!C:D)</f>
        <v>Portincasa_2022</v>
      </c>
      <c r="C12" t="str">
        <v>10.3390/ijms23031105</v>
      </c>
    </row>
    <row r="13" spans="1:3">
      <c r="A13" s="6">
        <v>30</v>
      </c>
      <c r="B13" t="str" cm="1">
        <f t="array" ref="B13:C13">_xlfn.XLOOKUP(A13, Samarkhazan2025_refs!A:A, Samarkhazan2025_refs!C:D)</f>
        <v>Chi_2023</v>
      </c>
      <c r="C13" t="str">
        <v>10.1155/2023/3532756</v>
      </c>
    </row>
    <row r="14" spans="1:3">
      <c r="A14" s="6">
        <v>31</v>
      </c>
      <c r="B14" t="str" cm="1">
        <f t="array" ref="B14:C14">_xlfn.XLOOKUP(A14, Samarkhazan2025_refs!A:A, Samarkhazan2025_refs!C:D)</f>
        <v>Rooks&amp;Garrett_2016</v>
      </c>
      <c r="C14" t="str">
        <v>10.1038/nri.2016.42</v>
      </c>
    </row>
    <row r="15" spans="1:3">
      <c r="A15" s="6">
        <v>27</v>
      </c>
      <c r="B15" t="str" cm="1">
        <f t="array" ref="B15:C15">_xlfn.XLOOKUP(A15, Samarkhazan2025_refs!A:A, Samarkhazan2025_refs!C:D)</f>
        <v>Biennier_2024</v>
      </c>
      <c r="C15" t="str">
        <v>10.3390/microorganisms12112256</v>
      </c>
    </row>
    <row r="16" spans="1:3">
      <c r="A16" s="6">
        <v>28</v>
      </c>
      <c r="B16" t="str" cm="1">
        <f t="array" ref="B16:C16">_xlfn.XLOOKUP(A16, Samarkhazan2025_refs!A:A, Samarkhazan2025_refs!C:D)</f>
        <v>Faraci_2024</v>
      </c>
      <c r="C16" t="str">
        <v>10.1038/s41598-024-55690-6</v>
      </c>
    </row>
    <row r="17" spans="1:3">
      <c r="A17" s="6">
        <v>29</v>
      </c>
      <c r="B17" t="str" cm="1">
        <f t="array" ref="B17:C17">_xlfn.XLOOKUP(A17, Samarkhazan2025_refs!A:A, Samarkhazan2025_refs!C:D)</f>
        <v>Portincasa_2022</v>
      </c>
      <c r="C17" t="str">
        <v>10.3390/ijms23031105</v>
      </c>
    </row>
    <row r="18" spans="1:3">
      <c r="A18" s="6">
        <v>30</v>
      </c>
      <c r="B18" t="str" cm="1">
        <f t="array" ref="B18:C18">_xlfn.XLOOKUP(A18, Samarkhazan2025_refs!A:A, Samarkhazan2025_refs!C:D)</f>
        <v>Chi_2023</v>
      </c>
      <c r="C18" t="str">
        <v>10.1155/2023/3532756</v>
      </c>
    </row>
    <row r="19" spans="1:3">
      <c r="A19" s="6">
        <v>31</v>
      </c>
      <c r="B19" t="str" cm="1">
        <f t="array" ref="B19:C19">_xlfn.XLOOKUP(A19, Samarkhazan2025_refs!A:A, Samarkhazan2025_refs!C:D)</f>
        <v>Rooks&amp;Garrett_2016</v>
      </c>
      <c r="C19" t="str">
        <v>10.1038/nri.2016.42</v>
      </c>
    </row>
    <row r="20" spans="1:3">
      <c r="A20" s="6">
        <v>36</v>
      </c>
      <c r="B20" t="str" cm="1">
        <f t="array" ref="B20:C20">_xlfn.XLOOKUP(A20, Samarkhazan2025_refs!A:A, Samarkhazan2025_refs!C:D)</f>
        <v>Takahashi_2020</v>
      </c>
      <c r="C20" t="str">
        <v>10.1016/j.ebiom.2020.102913</v>
      </c>
    </row>
    <row r="21" spans="1:3">
      <c r="A21" s="6">
        <v>37</v>
      </c>
      <c r="B21" t="str" cm="1">
        <f t="array" ref="B21:C21">_xlfn.XLOOKUP(A21, Samarkhazan2025_refs!A:A, Samarkhazan2025_refs!C:D)</f>
        <v>Biliński_2022</v>
      </c>
      <c r="C21" t="str">
        <v>10.3390/biomedicines10040837</v>
      </c>
    </row>
    <row r="22" spans="1:3">
      <c r="A22" s="6">
        <v>38</v>
      </c>
      <c r="B22" t="str" cm="1">
        <f t="array" ref="B22:C22">_xlfn.XLOOKUP(A22, Samarkhazan2025_refs!A:A, Samarkhazan2025_refs!C:D)</f>
        <v>Gavriilaki_2024</v>
      </c>
      <c r="C22" t="str">
        <v>10.3390/ijms25115789</v>
      </c>
    </row>
    <row r="23" spans="1:3">
      <c r="A23" s="6">
        <v>42</v>
      </c>
      <c r="B23" t="str" cm="1">
        <f t="array" ref="B23:C23">_xlfn.XLOOKUP(A23, Samarkhazan2025_refs!A:A, Samarkhazan2025_refs!C:D)</f>
        <v>Eriguchi_2012</v>
      </c>
      <c r="C23" t="str">
        <v>10.1182/blood-2011-12-401166</v>
      </c>
    </row>
    <row r="24" spans="1:3">
      <c r="A24" s="6">
        <v>8</v>
      </c>
      <c r="B24" t="str" cm="1">
        <f t="array" ref="B24:C24">_xlfn.XLOOKUP(A24, Samarkhazan2025_refs!A:A, Samarkhazan2025_refs!C:D)</f>
        <v>Yue_2024</v>
      </c>
      <c r="C24" t="str">
        <v>10.1002/cam4.6799</v>
      </c>
    </row>
    <row r="25" spans="1:3">
      <c r="A25" s="6">
        <v>55</v>
      </c>
      <c r="B25" t="str" cm="1">
        <f t="array" ref="B25:C25">_xlfn.XLOOKUP(A25, Samarkhazan2025_refs!A:A, Samarkhazan2025_refs!C:D)</f>
        <v>Kimura_2020</v>
      </c>
      <c r="C25" t="str">
        <v>10.1126/science.aaw8429</v>
      </c>
    </row>
    <row r="26" spans="1:3">
      <c r="A26" s="6">
        <v>45</v>
      </c>
      <c r="B26" t="str" cm="1">
        <f t="array" ref="B26:C26">_xlfn.XLOOKUP(A26, Samarkhazan2025_refs!A:A, Samarkhazan2025_refs!C:D)</f>
        <v>Fujiwara_2021</v>
      </c>
      <c r="C26" t="str">
        <v>10.3389/fimmu.2021.703298</v>
      </c>
    </row>
    <row r="27" spans="1:3">
      <c r="A27" s="6">
        <v>46</v>
      </c>
      <c r="B27" t="str" cm="1">
        <f t="array" ref="B27:C27">_xlfn.XLOOKUP(A27, Samarkhazan2025_refs!A:A, Samarkhazan2025_refs!C:D)</f>
        <v>Kiriyama&amp;Nochi_2023</v>
      </c>
      <c r="C27" t="str">
        <v>10.3390/microorganisms11112730</v>
      </c>
    </row>
    <row r="28" spans="1:3">
      <c r="A28" s="6">
        <v>50</v>
      </c>
      <c r="B28" t="str" cm="1">
        <f t="array" ref="B28:C28">_xlfn.XLOOKUP(A28, Samarkhazan2025_refs!A:A, Samarkhazan2025_refs!C:D)</f>
        <v>Khuat_2021</v>
      </c>
      <c r="C28" t="str">
        <v>10.1080/19490976.2021.1966262</v>
      </c>
    </row>
    <row r="29" spans="1:3">
      <c r="A29" s="6">
        <v>5</v>
      </c>
      <c r="B29" t="str" cm="1">
        <f t="array" ref="B29:C29">_xlfn.XLOOKUP(A29, Samarkhazan2025_refs!A:A, Samarkhazan2025_refs!C:D)</f>
        <v>Henig_2021</v>
      </c>
      <c r="C29" t="str">
        <v>10.3324/haematol.2020.247395</v>
      </c>
    </row>
    <row r="30" spans="1:3">
      <c r="A30" s="6">
        <v>51</v>
      </c>
      <c r="B30" t="str" cm="1">
        <f t="array" ref="B30:C30">_xlfn.XLOOKUP(A30, Samarkhazan2025_refs!A:A, Samarkhazan2025_refs!C:D)</f>
        <v>Kaźmierczak-Siedlecka_2021</v>
      </c>
      <c r="C30" t="str">
        <v>10.3390/cancers13184665</v>
      </c>
    </row>
    <row r="31" spans="1:3">
      <c r="A31" s="6">
        <v>63</v>
      </c>
      <c r="B31" t="str" cm="1">
        <f t="array" ref="B31:C31">_xlfn.XLOOKUP(A31, Samarkhazan2025_refs!A:A, Samarkhazan2025_refs!C:D)</f>
        <v>Henrick_2021</v>
      </c>
      <c r="C31" t="str">
        <v>10.1016/j.cell.2021.05.030</v>
      </c>
    </row>
    <row r="32" spans="1:3">
      <c r="A32" s="6">
        <v>64</v>
      </c>
      <c r="B32" t="str" cm="1">
        <f t="array" ref="B32:C32">_xlfn.XLOOKUP(A32, Samarkhazan2025_refs!A:A, Samarkhazan2025_refs!C:D)</f>
        <v>Laursen_2021</v>
      </c>
      <c r="C32" t="str">
        <v>10.1038/s41564-021-00970-4</v>
      </c>
    </row>
    <row r="33" spans="1:3">
      <c r="A33" s="6">
        <v>50</v>
      </c>
      <c r="B33" t="str" cm="1">
        <f t="array" ref="B33:C33">_xlfn.XLOOKUP(A33, Samarkhazan2025_refs!A:A, Samarkhazan2025_refs!C:D)</f>
        <v>Khuat_2021</v>
      </c>
      <c r="C33" t="str">
        <v>10.1080/19490976.2021.1966262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baseColWidth="10" defaultColWidth="8.83203125" defaultRowHeight="15"/>
  <cols>
    <col min="1" max="2" width="48" customWidth="1"/>
  </cols>
  <sheetData>
    <row r="1" spans="1:2" ht="32" customHeight="1">
      <c r="A1" s="3" t="s">
        <v>328</v>
      </c>
      <c r="B1" s="3" t="s">
        <v>329</v>
      </c>
    </row>
    <row r="2" spans="1:2">
      <c r="A2" t="s">
        <v>330</v>
      </c>
      <c r="B2" t="s">
        <v>331</v>
      </c>
    </row>
    <row r="3" spans="1:2">
      <c r="A3" t="s">
        <v>332</v>
      </c>
      <c r="B3" t="s">
        <v>333</v>
      </c>
    </row>
    <row r="4" spans="1:2">
      <c r="A4" t="s">
        <v>334</v>
      </c>
      <c r="B4" t="s">
        <v>335</v>
      </c>
    </row>
    <row r="5" spans="1:2">
      <c r="A5" t="s">
        <v>336</v>
      </c>
      <c r="B5" t="s">
        <v>337</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Samarkhazan2025_refs</vt:lpstr>
      <vt:lpstr>Sheet1</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Sophie Huebler</cp:lastModifiedBy>
  <dcterms:modified xsi:type="dcterms:W3CDTF">2026-06-24T22:59:59Z</dcterms:modified>
</cp:coreProperties>
</file>