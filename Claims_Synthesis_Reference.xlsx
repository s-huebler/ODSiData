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ophiehuebler/Documents/ODSi/ODSiData/"/>
    </mc:Choice>
  </mc:AlternateContent>
  <xr:revisionPtr revIDLastSave="0" documentId="13_ncr:1_{964052C8-F784-AA4D-B63F-BC933089E905}" xr6:coauthVersionLast="47" xr6:coauthVersionMax="47" xr10:uidLastSave="{00000000-0000-0000-0000-000000000000}"/>
  <bookViews>
    <workbookView xWindow="-38040" yWindow="1440" windowWidth="35580" windowHeight="20220" tabRatio="500" activeTab="1" xr2:uid="{00000000-000D-0000-FFFF-FFFF00000000}"/>
  </bookViews>
  <sheets>
    <sheet name="README" sheetId="1" r:id="rId1"/>
    <sheet name="Canonical_Claims" sheetId="2" r:id="rId2"/>
    <sheet name="Atomic_Claims" sheetId="3" r:id="rId3"/>
    <sheet name="Edges" sheetId="4" r:id="rId4"/>
    <sheet name="Claims_annotat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1" i="2" l="1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<sst xmlns="http://schemas.openxmlformats.org/spreadsheetml/2006/main" count="2281" uniqueCount="677">
  <si>
    <t>GVHD Claims Synthesis — REFERENCE BATCH</t>
  </si>
  <si>
    <t>Generated from Claims_Batch1.xlsx. This batch defines the canonical vocabulary; future</t>
  </si>
  <si>
    <t>batches should reuse these exact canonical_claim strings so nodes merge across batches.</t>
  </si>
  <si>
    <t>DOMAIN</t>
  </si>
  <si>
    <t>Outcome domain is fixed = GVHD for every claim. Each canonical claim is directional toward</t>
  </si>
  <si>
    <t>GVHD: '&lt;subject&gt; reduces GVHD' (favourable / protective) or '&lt;subject&gt; exacerbates GVHD'</t>
  </si>
  <si>
    <t>(unfavourable). One nuanced association is coded 'context'. The suspected mechanism is kept</t>
  </si>
  <si>
    <t>in a separate column rather than folded into the claim text.</t>
  </si>
  <si>
    <t>METHOD</t>
  </si>
  <si>
    <t>95 source rows -&gt; 58 cells (rows sharing review+verbatim+microbe) -&gt; 69 atomic claims -&gt;</t>
  </si>
  <si>
    <t>40 canonical claims (nodes) -&gt; 113 citation-network edges. Provenance preserved throughout.</t>
  </si>
  <si>
    <t>SHEETS</t>
  </si>
  <si>
    <t>Canonical_Claims  -  the NODES. One row per unique GVHD-directional claim + valence + counts.</t>
  </si>
  <si>
    <t>Atomic_Claims     -  every single-idea claim, its subject/rank/mechanism, and its canonical id.</t>
  </si>
  <si>
    <t>Edges             -  citation network: canonical_claim &lt;- citing review &lt;- primary paper.</t>
  </si>
  <si>
    <t>Claims_annotated  -  original rows + the canonical_claim_id(s) they map to.</t>
  </si>
  <si>
    <t>CONTROLLED VOCABULARY</t>
  </si>
  <si>
    <t>outcome_domain:  GVHD (fixed for this project)</t>
  </si>
  <si>
    <t>valence:  favourable (reduces GVHD)  |  unfavourable (exacerbates GVHD)  |  context</t>
  </si>
  <si>
    <t>subject_rank:  species, genus, family, order, class, phylum, metabolite, community</t>
  </si>
  <si>
    <t>CROSS-PAPER CONTRADICTIONS (kept as separate nodes — this is signal to map)</t>
  </si>
  <si>
    <t>- Lactobacillus: reduces GVHD (Samarkhazan IgA; Godefroy lactate) vs exacerbates GVHD</t>
  </si>
  <si>
    <t xml:space="preserve">  (Samarkhazan, MHC-II alloreactive T cells). Lactobacillales (order) also exacerbates (Paredes).</t>
  </si>
  <si>
    <t>- Akkermansia: reduces GVHD (Godefroy, SCFA/Treg) vs exacerbates GVHD (Paredes, GVHD development).</t>
  </si>
  <si>
    <t>JUDGMENT CALLS TO REVIEW (first pass)</t>
  </si>
  <si>
    <t>1. Ref attribution is CELL-LEVEL: a cell's primary refs are attributed to each atomic claim</t>
  </si>
  <si>
    <t xml:space="preserve">   from that cell. Split per sub-claim where you have finer detail (esp. multi-taxon cells).</t>
  </si>
  <si>
    <t>2. cids 4 &amp; 5 (Samarkhazan) had a blank 'Effect on GVHD' — coded favourable from the mechanism.</t>
  </si>
  <si>
    <t>3. cid 33 (Junior): higher pre-HSCT BETA-diversity associated with MORE intestinal GvHD — the</t>
  </si>
  <si>
    <t xml:space="preserve">   opposite of the alpha-diversity protective claim. Coded 'context', kept as its own node.</t>
  </si>
  <si>
    <t>4. 'loss/low-abundance correlates with worse GVHD' rows are coded favourable (the taxon is</t>
  </si>
  <si>
    <t xml:space="preserve">   protective). cids 11, 41, 46, 51, 53.</t>
  </si>
  <si>
    <t>5. cid 1 also listed LPS (E. coli) alongside PSA; folded into the PSA regulatory-macrophage claim.</t>
  </si>
  <si>
    <t>6. 'Dysbiosis' coded as a community-level node (cid 57). Drop if you want named taxa only.</t>
  </si>
  <si>
    <t>canonical_claim_id</t>
  </si>
  <si>
    <t>canonical_claim</t>
  </si>
  <si>
    <t>subject</t>
  </si>
  <si>
    <t>subject_rank</t>
  </si>
  <si>
    <t>subject_group</t>
  </si>
  <si>
    <t>outcome_domain</t>
  </si>
  <si>
    <t>valence</t>
  </si>
  <si>
    <t>n_atomic_claims</t>
  </si>
  <si>
    <t>n_primary_refs</t>
  </si>
  <si>
    <t>n_reviews</t>
  </si>
  <si>
    <t>reviews</t>
  </si>
  <si>
    <t>Polysaccharide A reduces GVHD</t>
  </si>
  <si>
    <t>Polysaccharide A (Bacteroides fragilis)</t>
  </si>
  <si>
    <t>metabolite</t>
  </si>
  <si>
    <t>bacterial_product</t>
  </si>
  <si>
    <t>GVHD</t>
  </si>
  <si>
    <t>favourable</t>
  </si>
  <si>
    <t>Samarkhazan_2025</t>
  </si>
  <si>
    <t>SCFAs reduce GVHD</t>
  </si>
  <si>
    <t>SCFAs</t>
  </si>
  <si>
    <t>SCFA</t>
  </si>
  <si>
    <t>Hsu_2026, Junior_2025, Samarkhazan_2025</t>
  </si>
  <si>
    <t>Clostridia reduce GVHD</t>
  </si>
  <si>
    <t>Clostridia</t>
  </si>
  <si>
    <t>class</t>
  </si>
  <si>
    <t>Paredes_2026, Samarkhazan_2025, Weber_2026</t>
  </si>
  <si>
    <t>Faecalibacterium prausnitzii reduces GVHD</t>
  </si>
  <si>
    <t>Faecalibacterium prausnitzii</t>
  </si>
  <si>
    <t>species</t>
  </si>
  <si>
    <t>Faecalibacterium</t>
  </si>
  <si>
    <t>Bifidobacterium reduces GVHD</t>
  </si>
  <si>
    <t>Bifidobacterium</t>
  </si>
  <si>
    <t>genus</t>
  </si>
  <si>
    <t>Godefroy_2025, Samarkhazan_2025</t>
  </si>
  <si>
    <t>Lactobacillus reduces GVHD</t>
  </si>
  <si>
    <t>Lactobacillus</t>
  </si>
  <si>
    <t>Indole-3-aldehyde reduces GVHD</t>
  </si>
  <si>
    <t>Indole-3-aldehyde (IAld)</t>
  </si>
  <si>
    <t>tryptophan</t>
  </si>
  <si>
    <t>Bacteroides thetaiotaomicron exacerbates GVHD</t>
  </si>
  <si>
    <t>Bacteroides thetaiotaomicron</t>
  </si>
  <si>
    <t>Bacteroides</t>
  </si>
  <si>
    <t>unfavourable</t>
  </si>
  <si>
    <t>Clostridium scindens reduces GVHD</t>
  </si>
  <si>
    <t>Clostridium scindens</t>
  </si>
  <si>
    <t>Enterococcus exacerbates GVHD</t>
  </si>
  <si>
    <t>Enterococcus</t>
  </si>
  <si>
    <t>Junior_2025, Paredes_2026, Samarkhazan_2025, Weber_2026</t>
  </si>
  <si>
    <t>Clostridiales reduce GVHD</t>
  </si>
  <si>
    <t>Clostridiales</t>
  </si>
  <si>
    <t>order</t>
  </si>
  <si>
    <t>Lactobacillus exacerbates GVHD</t>
  </si>
  <si>
    <t>Akkermansia reduces GVHD</t>
  </si>
  <si>
    <t>Akkermansia</t>
  </si>
  <si>
    <t>Godefroy_2025</t>
  </si>
  <si>
    <t>Akkermansia muciniphila reduces GVHD</t>
  </si>
  <si>
    <t>Akkermansia muciniphila</t>
  </si>
  <si>
    <t>Bacillus reduces GVHD</t>
  </si>
  <si>
    <t>Bacillus</t>
  </si>
  <si>
    <t>Bacteroides fragilis reduces GVHD</t>
  </si>
  <si>
    <t>Bacteroides fragilis</t>
  </si>
  <si>
    <t>Godefroy_2025, Weber_2026</t>
  </si>
  <si>
    <t>Bacteroides ovatus reduces GVHD</t>
  </si>
  <si>
    <t>Bacteroides ovatus</t>
  </si>
  <si>
    <t>Godefroy_2025, Paredes_2026</t>
  </si>
  <si>
    <t>Blautia reduces GVHD</t>
  </si>
  <si>
    <t>Blautia</t>
  </si>
  <si>
    <t>Godefroy_2025, Junior_2025, Paredes_2026</t>
  </si>
  <si>
    <t>Clostridium butyricum reduces GVHD</t>
  </si>
  <si>
    <t>Clostridium butyricum</t>
  </si>
  <si>
    <t>Coriobacteriaceae reduce GVHD</t>
  </si>
  <si>
    <t>Coriobacteriaceae</t>
  </si>
  <si>
    <t>family</t>
  </si>
  <si>
    <t>Faecalibacterium duncaniae reduces GVHD</t>
  </si>
  <si>
    <t>Faecalibacterium duncaniae</t>
  </si>
  <si>
    <t>Faecalibacterium reduces GVHD</t>
  </si>
  <si>
    <t>Godefroy_2025, Junior_2025</t>
  </si>
  <si>
    <t>Lachnospiraceae reduce GVHD</t>
  </si>
  <si>
    <t>Lachnospiraceae</t>
  </si>
  <si>
    <t>Ruminococcaceae reduce GVHD</t>
  </si>
  <si>
    <t>Ruminococcaceae</t>
  </si>
  <si>
    <t>Veillonella reduces GVHD</t>
  </si>
  <si>
    <t>Veillonella</t>
  </si>
  <si>
    <t>Lactate-producing bacteria reduce GVHD</t>
  </si>
  <si>
    <t>Lactate-producing bacteria</t>
  </si>
  <si>
    <t>community</t>
  </si>
  <si>
    <t>functional_group</t>
  </si>
  <si>
    <t>Gentamicin-resistant bacteria reduce GVHD</t>
  </si>
  <si>
    <t>Gentamicin-resistant bacteria</t>
  </si>
  <si>
    <t>Vancomycin-resistant bacteria reduce GVHD</t>
  </si>
  <si>
    <t>Vancomycin-resistant bacteria</t>
  </si>
  <si>
    <t>Higher gut microbiome diversity reduces GVHD</t>
  </si>
  <si>
    <t>Higher gut microbiome diversity</t>
  </si>
  <si>
    <t>diversity</t>
  </si>
  <si>
    <t>Junior_2025, Weber_2026</t>
  </si>
  <si>
    <t>Higher pre-HSCT beta-diversity is associated with intestinal GVHD</t>
  </si>
  <si>
    <t>Higher pre-HSCT beta-diversity</t>
  </si>
  <si>
    <t>context</t>
  </si>
  <si>
    <t>Junior_2025</t>
  </si>
  <si>
    <t>Anaerostipes reduces GVHD</t>
  </si>
  <si>
    <t>Anaerostipes</t>
  </si>
  <si>
    <t>Lachnoclostridium reduces GVHD</t>
  </si>
  <si>
    <t>Lachnoclostridium</t>
  </si>
  <si>
    <t>Junior_2025, Paredes_2026</t>
  </si>
  <si>
    <t>Butyrate-producing bacteria reduce GVHD</t>
  </si>
  <si>
    <t>Butyrate-producing bacteria</t>
  </si>
  <si>
    <t>Akkermansia exacerbates GVHD</t>
  </si>
  <si>
    <t>Paredes_2026</t>
  </si>
  <si>
    <t>Lactobacillales exacerbates GVHD</t>
  </si>
  <si>
    <t>Lactobacillales</t>
  </si>
  <si>
    <t>Tryptophan-derived metabolites reduce GVHD</t>
  </si>
  <si>
    <t>Tryptophan-derived metabolites</t>
  </si>
  <si>
    <t>Phenylacetic acid reduces GVHD</t>
  </si>
  <si>
    <t>Phenylacetic acid</t>
  </si>
  <si>
    <t>other_metabolite</t>
  </si>
  <si>
    <t>Secondary bile acids reduce GVHD</t>
  </si>
  <si>
    <t>Secondary bile acids</t>
  </si>
  <si>
    <t>bile_acid</t>
  </si>
  <si>
    <t>Weber_2026</t>
  </si>
  <si>
    <t>Dysbiosis exacerbates GVHD</t>
  </si>
  <si>
    <t>Dysbiosis</t>
  </si>
  <si>
    <t>Streptococcus exacerbates GVHD</t>
  </si>
  <si>
    <t>Streptococcus</t>
  </si>
  <si>
    <t>atomic_id</t>
  </si>
  <si>
    <t>source_claim_id</t>
  </si>
  <si>
    <t>all_source_cids</t>
  </si>
  <si>
    <t>citing_paper</t>
  </si>
  <si>
    <t>table</t>
  </si>
  <si>
    <t>atomic_claim</t>
  </si>
  <si>
    <t>mechanism</t>
  </si>
  <si>
    <t>AT001</t>
  </si>
  <si>
    <t>1</t>
  </si>
  <si>
    <t>PSA (B. fragilis)/LPS induce regulatory macrophage differentiation; protective</t>
  </si>
  <si>
    <t>Regulatory macrophage differentiation; reduced inflammation</t>
  </si>
  <si>
    <t>AT002</t>
  </si>
  <si>
    <t>2</t>
  </si>
  <si>
    <t>Butyrate/acetate/propionate (Clostridia) reduce pro-inflammatory cytokines; protective</t>
  </si>
  <si>
    <t>Reduced pro-inflammatory cytokines; anti-inflammatory response</t>
  </si>
  <si>
    <t>AT003</t>
  </si>
  <si>
    <t>3</t>
  </si>
  <si>
    <t>Butyrate-producing Clostridia (IV, XIVa) expand colonic Foxp3+ Tregs; protective</t>
  </si>
  <si>
    <t>Foxp3+ Treg expansion; immune tolerance</t>
  </si>
  <si>
    <t>AT004</t>
  </si>
  <si>
    <t>F. prausnitzii drives Treg expansion / immune tolerance; protective</t>
  </si>
  <si>
    <t>AT005</t>
  </si>
  <si>
    <t>4</t>
  </si>
  <si>
    <t>Bifidobacterium increases IgA production and mucosal immunity</t>
  </si>
  <si>
    <t>Increased IgA / mucosal immunity</t>
  </si>
  <si>
    <t>AT006</t>
  </si>
  <si>
    <t>Lactobacillus increases IgA production and mucosal immunity</t>
  </si>
  <si>
    <t>AT007</t>
  </si>
  <si>
    <t>5</t>
  </si>
  <si>
    <t>IAld induces IL-22, increasing mucosal repair and epithelial homeostasis</t>
  </si>
  <si>
    <t>IL-22 induction; mucosal repair</t>
  </si>
  <si>
    <t>AT008</t>
  </si>
  <si>
    <t>6</t>
  </si>
  <si>
    <t>B. thetaiotaomicron (succinate) increases inflammation in dysbiosis; detrimental</t>
  </si>
  <si>
    <t>Increased inflammatory response (succinate) in dysbiosis</t>
  </si>
  <si>
    <t>AT009</t>
  </si>
  <si>
    <t>7</t>
  </si>
  <si>
    <t>Clostridium scindens suppresses Th1 differentiation; protective</t>
  </si>
  <si>
    <t>Suppression of Th1 differentiation</t>
  </si>
  <si>
    <t>AT010</t>
  </si>
  <si>
    <t>8</t>
  </si>
  <si>
    <t>Enterococcus increases GVHD severity</t>
  </si>
  <si>
    <t>Increased GVHD severity</t>
  </si>
  <si>
    <t>AT011</t>
  </si>
  <si>
    <t>9</t>
  </si>
  <si>
    <t>Clostridiales species reduce GVHD severity</t>
  </si>
  <si>
    <t>Reduced GVHD severity</t>
  </si>
  <si>
    <t>AT012</t>
  </si>
  <si>
    <t>10</t>
  </si>
  <si>
    <t>Lactobacillus exacerbates GVHD via MHC-II-dependent alloreactive T-cell activation</t>
  </si>
  <si>
    <t>MHC-II-dependent activation of alloreactive T cells</t>
  </si>
  <si>
    <t>AT013</t>
  </si>
  <si>
    <t>11</t>
  </si>
  <si>
    <t>Bifidobacterium loss correlates with increased inflammatory complications</t>
  </si>
  <si>
    <t>Loss correlates with increased inflammation</t>
  </si>
  <si>
    <t>AT014</t>
  </si>
  <si>
    <t>12</t>
  </si>
  <si>
    <t>Residual recipient Enterococcus exacerbates GVHD severity</t>
  </si>
  <si>
    <t>Residual recipient domination; increased severity</t>
  </si>
  <si>
    <t>AT015</t>
  </si>
  <si>
    <t>13</t>
  </si>
  <si>
    <t>Akkermansia genus reduces GVHD (SCFA, Treg induction)</t>
  </si>
  <si>
    <t>SCFA production; increased Treg induction</t>
  </si>
  <si>
    <t>AT016</t>
  </si>
  <si>
    <t>14</t>
  </si>
  <si>
    <t>Akkermansia muciniphila reduces aGvHD (SCFA, Treg induction)</t>
  </si>
  <si>
    <t>AT017</t>
  </si>
  <si>
    <t>15</t>
  </si>
  <si>
    <t>Bacillus spp. reduce aGI-GvHD via decreased MyD88/TLR9 triggering</t>
  </si>
  <si>
    <t>Decreased MyD88/TLR9 triggering</t>
  </si>
  <si>
    <t>AT018</t>
  </si>
  <si>
    <t>16</t>
  </si>
  <si>
    <t>Bacteroides fragilis reduces a/cGvHD via PSA-induced peripheral Tr1 differentiation</t>
  </si>
  <si>
    <t>Glycoantigen (PSA); peripheral Tr1 differentiation</t>
  </si>
  <si>
    <t>AT019</t>
  </si>
  <si>
    <t>17</t>
  </si>
  <si>
    <t>Bacteroides ovatus reduces GVHD severity/mortality via xylose, suppressing mucus-degraders</t>
  </si>
  <si>
    <t>Xylose production; suppression of mucus-degrading microbes</t>
  </si>
  <si>
    <t>AT020</t>
  </si>
  <si>
    <t>18</t>
  </si>
  <si>
    <t>Bifidobacterium reduces aGvHD via polyamines and secondary bile acids (isoDCA)</t>
  </si>
  <si>
    <t>Polyamines; secondary bile acids (isoDCA)</t>
  </si>
  <si>
    <t>AT021</t>
  </si>
  <si>
    <t>19</t>
  </si>
  <si>
    <t>Blautia reduces GVHD death/severity/risk via Treg/Th17 ratio and butyrate (GPR43)</t>
  </si>
  <si>
    <t>Increased Treg/Th17 ratio; butyrate (GPR43)</t>
  </si>
  <si>
    <t>AT022</t>
  </si>
  <si>
    <t>20</t>
  </si>
  <si>
    <t>Clostridiales order (Faecalibacterium, Roseburia, Ruminococcus, Blautia) reduce GVHD (Treg, SCFA)</t>
  </si>
  <si>
    <t>Foxp3+ Treg induction; SCFA production</t>
  </si>
  <si>
    <t>AT023</t>
  </si>
  <si>
    <t>21</t>
  </si>
  <si>
    <t>Clostridium butyricum reduces aGvHD by maintaining microbiota diversity</t>
  </si>
  <si>
    <t>Maintenance of intestinal microbiota diversity</t>
  </si>
  <si>
    <t>AT024</t>
  </si>
  <si>
    <t>22</t>
  </si>
  <si>
    <t>Coriobacteriaceae reduce aGI-GvHD via inflammation prevention (TLR4/LPS)</t>
  </si>
  <si>
    <t>Inflammation prevention (TLR4/LPS-dependent)</t>
  </si>
  <si>
    <t>AT025</t>
  </si>
  <si>
    <t>23</t>
  </si>
  <si>
    <t>Faecalibacterium duncaniae reduces GVHD (TolDC, DP8a Treg, NF-kB inhibition via MAM, butyrate)</t>
  </si>
  <si>
    <t>TolDC + DP8alpha Treg induction; NF-kB inhibition (MAM); butyrate</t>
  </si>
  <si>
    <t>AT026</t>
  </si>
  <si>
    <t>24</t>
  </si>
  <si>
    <t>Faecalibacterium genus reduces GVHD (SCFA, Treg induction)</t>
  </si>
  <si>
    <t>AT027</t>
  </si>
  <si>
    <t>25</t>
  </si>
  <si>
    <t>Lachnospiraceae reduce aGvHD (SCFA, Treg/Th17 ratio)</t>
  </si>
  <si>
    <t>SCFA production; increased Treg/Th17 ratio</t>
  </si>
  <si>
    <t>AT028</t>
  </si>
  <si>
    <t>26</t>
  </si>
  <si>
    <t>Lactobacillus reduces GVHD via lactate, inflammation and gut-damage prevention</t>
  </si>
  <si>
    <t>SCFA/lactate production; inflammation &amp; gut-damage prevention</t>
  </si>
  <si>
    <t>AT029</t>
  </si>
  <si>
    <t>27</t>
  </si>
  <si>
    <t>Ruminococcaceae reduce aGvHD (SCFA, Treg induction)</t>
  </si>
  <si>
    <t>AT030</t>
  </si>
  <si>
    <t>28</t>
  </si>
  <si>
    <t>Veillonella reduces aGvHD via propionate production</t>
  </si>
  <si>
    <t>SCFA (propionate) production</t>
  </si>
  <si>
    <t>AT031</t>
  </si>
  <si>
    <t>29</t>
  </si>
  <si>
    <t>Lactate-producing bacteria reduce GVHD (lactate, inflammation prevention, Treg)</t>
  </si>
  <si>
    <t>SCFA/lactate production; inflammation prevention; Treg induction</t>
  </si>
  <si>
    <t>AT032</t>
  </si>
  <si>
    <t>30</t>
  </si>
  <si>
    <t>Gentamicin-resistant bacteria reduce GVHD-related death via modulation of MHC-II on IECs</t>
  </si>
  <si>
    <t>Modulation of MHC-II expression on intestinal epithelial cells</t>
  </si>
  <si>
    <t>AT033</t>
  </si>
  <si>
    <t>31</t>
  </si>
  <si>
    <t>Vancomycin-resistant bacteria reduce GVHD-related death via modulation of MHC-II on IECs</t>
  </si>
  <si>
    <t>AT034</t>
  </si>
  <si>
    <t>32</t>
  </si>
  <si>
    <t>Higher pre-transplant alpha diversity decreases aGvHD incidence</t>
  </si>
  <si>
    <t>Higher alpha diversity</t>
  </si>
  <si>
    <t>AT035</t>
  </si>
  <si>
    <t>33</t>
  </si>
  <si>
    <t>Higher pre-HSCT beta-diversity associated with intestinal GvHD (vs no/skin GvHD)</t>
  </si>
  <si>
    <t>Greater inter-sample beta-diversity pre-HSCT</t>
  </si>
  <si>
    <t>AT036</t>
  </si>
  <si>
    <t>34</t>
  </si>
  <si>
    <t>Increased intestinal diversity associated with reduced GvHD-related mortality</t>
  </si>
  <si>
    <t>AT037</t>
  </si>
  <si>
    <t>35</t>
  </si>
  <si>
    <t>Decreased diversity at D+10 associated with increased early aGvHD</t>
  </si>
  <si>
    <t>Lower alpha diversity -&gt; higher aGvHD</t>
  </si>
  <si>
    <t>AT038</t>
  </si>
  <si>
    <t>36</t>
  </si>
  <si>
    <t>GvHD-related mortality higher in low-diversity patients</t>
  </si>
  <si>
    <t>Low alpha diversity -&gt; higher mortality</t>
  </si>
  <si>
    <t>AT039</t>
  </si>
  <si>
    <t>37</t>
  </si>
  <si>
    <t>Severe aGvHD patients had lower alpha diversity (Chao1, Simpson)</t>
  </si>
  <si>
    <t>Lower alpha diversity in severe aGvHD</t>
  </si>
  <si>
    <t>AT040</t>
  </si>
  <si>
    <t>38</t>
  </si>
  <si>
    <t>Severe aGvHD patients had lower alpha diversity at engraftment</t>
  </si>
  <si>
    <t>AT041</t>
  </si>
  <si>
    <t>39</t>
  </si>
  <si>
    <t>Shannon diversity at engraftment associated with aGvHD incidence</t>
  </si>
  <si>
    <t>Shannon diversity at engraftment</t>
  </si>
  <si>
    <t>AT042</t>
  </si>
  <si>
    <t>40</t>
  </si>
  <si>
    <t>Higher Blautia abundance reduces GvHD-related mortality, refractory and liver GvHD</t>
  </si>
  <si>
    <t>Higher Blautia abundance; SCFA production</t>
  </si>
  <si>
    <t>AT043</t>
  </si>
  <si>
    <t>41</t>
  </si>
  <si>
    <t>Severe GvHD shows depletion of Blautia coccoides</t>
  </si>
  <si>
    <t>Depletion in severe GvHD</t>
  </si>
  <si>
    <t>AT044</t>
  </si>
  <si>
    <t>Severe GvHD shows depletion of Anaerostipes</t>
  </si>
  <si>
    <t>AT045</t>
  </si>
  <si>
    <t>Severe GvHD shows depletion of Faecalibacterium</t>
  </si>
  <si>
    <t>AT046</t>
  </si>
  <si>
    <t>Severe GvHD shows depletion of Lachnoclostridium</t>
  </si>
  <si>
    <t>AT047</t>
  </si>
  <si>
    <t>Severe GvHD shows lower total SCFAs/acetate/butyrate/propionate</t>
  </si>
  <si>
    <t>Lower SCFA levels in severe GvHD</t>
  </si>
  <si>
    <t>AT048</t>
  </si>
  <si>
    <t>42</t>
  </si>
  <si>
    <t>Patients without GvHD had higher butyrate/propionate/acetate at D+14</t>
  </si>
  <si>
    <t>Higher SCFA levels in patients without GvHD</t>
  </si>
  <si>
    <t>AT049</t>
  </si>
  <si>
    <t>43</t>
  </si>
  <si>
    <t>Low BCoAT (butyrate-producer) copy numbers correlate with GI-GvHD severity/mortality</t>
  </si>
  <si>
    <t>Low butyryl-CoA transferase (BCoAT) copy number</t>
  </si>
  <si>
    <t>AT050</t>
  </si>
  <si>
    <t>44</t>
  </si>
  <si>
    <t>Decreased acetate levels detected in patients who developed GvHD</t>
  </si>
  <si>
    <t>Decreased acetate in GvHD</t>
  </si>
  <si>
    <t>AT051</t>
  </si>
  <si>
    <t>45</t>
  </si>
  <si>
    <t>Enterococcus domination increases GvHD-related mortality and severity</t>
  </si>
  <si>
    <t>Early post-transplant Enterococcus domination</t>
  </si>
  <si>
    <t>AT052</t>
  </si>
  <si>
    <t>46</t>
  </si>
  <si>
    <t>Bacteroides ovatus depleted after antibiotics; low abundance assoc. with steroid-refractory GVHD</t>
  </si>
  <si>
    <t>Depleted after high-risk antibiotics; low abundance -&gt; steroid-refractory GVHD</t>
  </si>
  <si>
    <t>AT053</t>
  </si>
  <si>
    <t>47</t>
  </si>
  <si>
    <t>Akkermansia associated with GVHD development</t>
  </si>
  <si>
    <t>Associated with GVHD development</t>
  </si>
  <si>
    <t>AT054</t>
  </si>
  <si>
    <t>48</t>
  </si>
  <si>
    <t>Lactobacillales associated with increased severe GVHD</t>
  </si>
  <si>
    <t>Associated with increased severe GVHD</t>
  </si>
  <si>
    <t>AT055</t>
  </si>
  <si>
    <t>49</t>
  </si>
  <si>
    <t>Enterococcus associated with bloodstream infections, GVHD and poor survival</t>
  </si>
  <si>
    <t>Bloodstream infections; poor survival</t>
  </si>
  <si>
    <t>AT056</t>
  </si>
  <si>
    <t>50</t>
  </si>
  <si>
    <t>Blautia associated with higher MAIT-cell frequency and lower GVHD lethality</t>
  </si>
  <si>
    <t>Higher intestinal MAIT-cell frequency</t>
  </si>
  <si>
    <t>AT057</t>
  </si>
  <si>
    <t>51</t>
  </si>
  <si>
    <t>Lachnoclostridium associated with decreased GVHD development</t>
  </si>
  <si>
    <t>Beneficial commensal; low abundance -&gt; unfavourable outcomes</t>
  </si>
  <si>
    <t>AT058</t>
  </si>
  <si>
    <t>52</t>
  </si>
  <si>
    <t>Ruminococcaceae associated with high 3-IS levels and decreased GVHD</t>
  </si>
  <si>
    <t>High 3-indoxyl sulfate (3-IS) levels</t>
  </si>
  <si>
    <t>AT059</t>
  </si>
  <si>
    <t>53</t>
  </si>
  <si>
    <t>Clostridia low abundance associated with shorter survival and higher GVHD mortality</t>
  </si>
  <si>
    <t>Low abundance -&gt; shorter OS, higher GVHD mortality</t>
  </si>
  <si>
    <t>AT060</t>
  </si>
  <si>
    <t>54</t>
  </si>
  <si>
    <t>Tryptophan-derived bioactive metabolites reduce GVHD severity</t>
  </si>
  <si>
    <t>Bioactive metabolites regulating immune cells; restored diversity</t>
  </si>
  <si>
    <t>AT061</t>
  </si>
  <si>
    <t>55</t>
  </si>
  <si>
    <t>Phenylacetic acid reduces inflammatory signalling in GVHD</t>
  </si>
  <si>
    <t>Treg differentiation; modulated cytokine production</t>
  </si>
  <si>
    <t>AT062</t>
  </si>
  <si>
    <t>56</t>
  </si>
  <si>
    <t>Hsu_2026</t>
  </si>
  <si>
    <t>Loss of SCFAs (notably butyrate) worsens mucosal damage and GVHD after allo-HCT</t>
  </si>
  <si>
    <t>Loss of butyrate -&gt; worse mucosal damage and GVHD</t>
  </si>
  <si>
    <t>AT063</t>
  </si>
  <si>
    <t>57, 58, 59</t>
  </si>
  <si>
    <t>Clostridia clusters produce butyrate, expanding colonic Foxp3+ Tregs</t>
  </si>
  <si>
    <t>Butyrate; colonic Foxp3+ Treg expansion</t>
  </si>
  <si>
    <t>AT064</t>
  </si>
  <si>
    <t>B. fragilis PSA induces IL-10+ Tregs via TLR2</t>
  </si>
  <si>
    <t>PSA; IL-10+ Treg induction via TLR2</t>
  </si>
  <si>
    <t>AT065</t>
  </si>
  <si>
    <t>Secondary bile acids (isoalloLCA) promote Foxp3 expression</t>
  </si>
  <si>
    <t>isoalloLCA; mitochondrial ROS for Foxp3 expression</t>
  </si>
  <si>
    <t>AT066</t>
  </si>
  <si>
    <t>Dysbiosis and antibiotics reduce Treg numbers, tipping balance toward GvHD</t>
  </si>
  <si>
    <t>Reduced Treg numbers; altered Treg-CD8 crosstalk</t>
  </si>
  <si>
    <t>AT067</t>
  </si>
  <si>
    <t>60</t>
  </si>
  <si>
    <t>Higher diversity at neutrophil engraftment associated with increased overall survival</t>
  </si>
  <si>
    <t>Higher diversity at engraftment -&gt; increased OS</t>
  </si>
  <si>
    <t>AT068</t>
  </si>
  <si>
    <t>Enterococcus abundance linked to increased GVHD risk</t>
  </si>
  <si>
    <t>Increased GVHD risk</t>
  </si>
  <si>
    <t>AT069</t>
  </si>
  <si>
    <t>Streptococcus abundance linked to increased GVHD risk</t>
  </si>
  <si>
    <t>citing_review_paper</t>
  </si>
  <si>
    <t>referenced_primary_paper</t>
  </si>
  <si>
    <t>referenced_doi</t>
  </si>
  <si>
    <t>ref_local_number</t>
  </si>
  <si>
    <t>duplicate_edge</t>
  </si>
  <si>
    <t>Biennier_2024</t>
  </si>
  <si>
    <t>10.3390/microorganisms12112256</t>
  </si>
  <si>
    <t>Faraci_2024</t>
  </si>
  <si>
    <t>10.1038/s41598-024-55690-6</t>
  </si>
  <si>
    <t>Portincasa_2022</t>
  </si>
  <si>
    <t>10.3390/ijms23031105</t>
  </si>
  <si>
    <t>Chi_2023</t>
  </si>
  <si>
    <t>10.1155/2023/3532756</t>
  </si>
  <si>
    <t>Rooks&amp;Garrett_2016</t>
  </si>
  <si>
    <t>10.1038/nri.2016.42</t>
  </si>
  <si>
    <t>Takahashi_2020</t>
  </si>
  <si>
    <t>10.1016/j.ebiom.2020.102913</t>
  </si>
  <si>
    <t>Biliński_2022</t>
  </si>
  <si>
    <t>10.3390/biomedicines10040837</t>
  </si>
  <si>
    <t>Gavriilaki_2024</t>
  </si>
  <si>
    <t>10.3390/ijms25115789</t>
  </si>
  <si>
    <t>Eriguchi_2012</t>
  </si>
  <si>
    <t>10.1182/blood-2011-12-401166</t>
  </si>
  <si>
    <t>Yue_2024</t>
  </si>
  <si>
    <t>10.1002/cam4.6799</t>
  </si>
  <si>
    <t>Kimura_2020</t>
  </si>
  <si>
    <t>10.1126/science.aaw8429</t>
  </si>
  <si>
    <t>Fujiwara_2021</t>
  </si>
  <si>
    <t>10.3389/fimmu.2021.703298</t>
  </si>
  <si>
    <t>Kiriyama&amp;Nochi_2023</t>
  </si>
  <si>
    <t>10.3390/microorganisms11112730</t>
  </si>
  <si>
    <t>Khuat_2021</t>
  </si>
  <si>
    <t>10.1080/19490976.2021.1966262</t>
  </si>
  <si>
    <t>Henig_2021</t>
  </si>
  <si>
    <t>10.3324/haematol.2020.247395</t>
  </si>
  <si>
    <t>Kaźmierczak-Siedlecka_2021</t>
  </si>
  <si>
    <t>10.3390/cancers13184665</t>
  </si>
  <si>
    <t>Henrick_2021</t>
  </si>
  <si>
    <t>10.1016/j.cell.2021.05.030</t>
  </si>
  <si>
    <t>63</t>
  </si>
  <si>
    <t>Laursen_2021</t>
  </si>
  <si>
    <t>10.1038/s41564-021-00970-4</t>
  </si>
  <si>
    <t>64</t>
  </si>
  <si>
    <t>yes</t>
  </si>
  <si>
    <t>Shono_2016</t>
  </si>
  <si>
    <t>10.1126/scitranslmed.aaf2311</t>
  </si>
  <si>
    <t>Kouidhi_2021</t>
  </si>
  <si>
    <t>10.3390/microorganisms9091845</t>
  </si>
  <si>
    <t>105</t>
  </si>
  <si>
    <t>Ilett_2020</t>
  </si>
  <si>
    <t>10.1182/bloodadvances.2020002677</t>
  </si>
  <si>
    <t>106</t>
  </si>
  <si>
    <t>Heimesaat_2010</t>
  </si>
  <si>
    <t>10.1136/gut.2009.197434</t>
  </si>
  <si>
    <t>107</t>
  </si>
  <si>
    <t>Sofi_2021</t>
  </si>
  <si>
    <t>10.1172/jci.insight.136841</t>
  </si>
  <si>
    <t>108</t>
  </si>
  <si>
    <t>Kreisman&amp;Cobb_2011</t>
  </si>
  <si>
    <t>10.1074/jbc.M110.206011</t>
  </si>
  <si>
    <t>109</t>
  </si>
  <si>
    <t>Hayase_2024</t>
  </si>
  <si>
    <t>10.1016/j.chom.2024.08.004</t>
  </si>
  <si>
    <t>110</t>
  </si>
  <si>
    <t>Michonneau_2019</t>
  </si>
  <si>
    <t>10.1038/s41467-019-13498-3</t>
  </si>
  <si>
    <t>Jenq_2015</t>
  </si>
  <si>
    <t>10.1016/j.bbmt.2015.04.016</t>
  </si>
  <si>
    <t>111</t>
  </si>
  <si>
    <t>Han_2018</t>
  </si>
  <si>
    <t>10.3389/fimmu.2018.00669</t>
  </si>
  <si>
    <t>112</t>
  </si>
  <si>
    <t>Golob_2019</t>
  </si>
  <si>
    <t>10.1182/bloodadvances.2019000362</t>
  </si>
  <si>
    <t>113</t>
  </si>
  <si>
    <t>Devaux_2020</t>
  </si>
  <si>
    <t>10.3389/fmicb.2020.01642</t>
  </si>
  <si>
    <t>114</t>
  </si>
  <si>
    <t>Jenq_2012</t>
  </si>
  <si>
    <t>10.1084/jem.20112408</t>
  </si>
  <si>
    <t>115</t>
  </si>
  <si>
    <t>Fukushima_2024</t>
  </si>
  <si>
    <t>10.1038/s41409-024-02250-1</t>
  </si>
  <si>
    <t>116</t>
  </si>
  <si>
    <t>Beckman_2021</t>
  </si>
  <si>
    <t>10.1007/s00520-020-05821-2</t>
  </si>
  <si>
    <t>117</t>
  </si>
  <si>
    <t>Alameddine_2019</t>
  </si>
  <si>
    <t>10.3389/fimmu.2019.00143</t>
  </si>
  <si>
    <t>Godefroy_2024</t>
  </si>
  <si>
    <t>10.1172/jci.insight.179458</t>
  </si>
  <si>
    <t>65</t>
  </si>
  <si>
    <t>Vital_2014</t>
  </si>
  <si>
    <t>10.1128/mBio.00889-14</t>
  </si>
  <si>
    <t>118</t>
  </si>
  <si>
    <t>Quévrain_2016</t>
  </si>
  <si>
    <t>10.1136/gutjnl-2014-307649</t>
  </si>
  <si>
    <t>119</t>
  </si>
  <si>
    <t>Farhadfar_2021</t>
  </si>
  <si>
    <t>10.1016/j.hemonc.2021.03.004</t>
  </si>
  <si>
    <t>120</t>
  </si>
  <si>
    <t>Duncan_2002</t>
  </si>
  <si>
    <t>10.1128/AEM.68.10.5186-5190.2002</t>
  </si>
  <si>
    <t>121</t>
  </si>
  <si>
    <t>Raoufi_2025</t>
  </si>
  <si>
    <t>10.1007/s10238-025-01588-0</t>
  </si>
  <si>
    <t>122</t>
  </si>
  <si>
    <t>Koyama_2023</t>
  </si>
  <si>
    <t>10.1016/j.immuni.2023.06.024</t>
  </si>
  <si>
    <t>Masetti_2023</t>
  </si>
  <si>
    <t>10.1182/blood.2023020026</t>
  </si>
  <si>
    <t>Biagi_2019</t>
  </si>
  <si>
    <t>10.1186/s12920-019-0494-7</t>
  </si>
  <si>
    <t>Mancini_2017</t>
  </si>
  <si>
    <t>10.1093/ofid/ofx215</t>
  </si>
  <si>
    <t>Taur_2014</t>
  </si>
  <si>
    <t>10.1182/blood-2014-02-554725</t>
  </si>
  <si>
    <t>Payen_2020</t>
  </si>
  <si>
    <t>10.1182/bloodadvances.2020001531</t>
  </si>
  <si>
    <t>Golob_2017</t>
  </si>
  <si>
    <t>10.1093/cid/cix699</t>
  </si>
  <si>
    <t>Galloway-Peña_2019</t>
  </si>
  <si>
    <t>10.1093/ofid/ofz173</t>
  </si>
  <si>
    <t>Romick-Rosendale_2018</t>
  </si>
  <si>
    <t>10.1016/j.bbmt.2018.07.030</t>
  </si>
  <si>
    <t>Meedt_2022</t>
  </si>
  <si>
    <t>10.1093/cid/ciab500</t>
  </si>
  <si>
    <t>Artacho_2024</t>
  </si>
  <si>
    <t>10.1186/s40168-024-01948-0</t>
  </si>
  <si>
    <t>Stein-Thoeringer_2019</t>
  </si>
  <si>
    <t>10.1126/science.aax3760</t>
  </si>
  <si>
    <t>Taur_2012</t>
  </si>
  <si>
    <t>10.1093/cid/cis580</t>
  </si>
  <si>
    <t>Peled_2020</t>
  </si>
  <si>
    <t>10.1056/NEJMoa1900623</t>
  </si>
  <si>
    <t>SteinThoeringer_2019</t>
  </si>
  <si>
    <t>66</t>
  </si>
  <si>
    <t>Ubeda_2010</t>
  </si>
  <si>
    <t>10.1172/JCI43918</t>
  </si>
  <si>
    <t>181</t>
  </si>
  <si>
    <t>Andrlová_2022</t>
  </si>
  <si>
    <t>10.1126/scitranslmed.abj2829</t>
  </si>
  <si>
    <t>184</t>
  </si>
  <si>
    <t>ThieleOrberg_2024</t>
  </si>
  <si>
    <t>10.1038/s43018-023-00669-x</t>
  </si>
  <si>
    <t>Weber_2015</t>
  </si>
  <si>
    <t>10.1182/blood-2015-04-638858</t>
  </si>
  <si>
    <t>BurgosdaSilva_2022</t>
  </si>
  <si>
    <t>10.1182/blood.2021015352</t>
  </si>
  <si>
    <t>Han_2024</t>
  </si>
  <si>
    <t>10.1186/s12967-024-05577-x</t>
  </si>
  <si>
    <t>103</t>
  </si>
  <si>
    <t>Mathewson_2016</t>
  </si>
  <si>
    <t>10.1038/ni.3400</t>
  </si>
  <si>
    <t>(Mathewson et al., 2016)</t>
  </si>
  <si>
    <t>Telesford_2015</t>
  </si>
  <si>
    <t>10.1080/19490976.2015.1056973</t>
  </si>
  <si>
    <t>Jarosch_20</t>
  </si>
  <si>
    <t>10.1016/j.xcrm.2023.101125</t>
  </si>
  <si>
    <t>Atarashi_2011</t>
  </si>
  <si>
    <t>10.1126/science.1198469</t>
  </si>
  <si>
    <t>Peled et al. [6]</t>
  </si>
  <si>
    <t>canonical_claim_ids</t>
  </si>
  <si>
    <t>canonical_claims</t>
  </si>
  <si>
    <t>verbatim_sentence</t>
  </si>
  <si>
    <t>microbe_metabolite_mechanism</t>
  </si>
  <si>
    <t>referenced_paper</t>
  </si>
  <si>
    <t>Induction of regulatory macrophage differentiation; reduced inflammatory responses - Effect on GVHD is Protective</t>
  </si>
  <si>
    <t>Polysaccharide A (B. fragilis), LPS (E. coli)</t>
  </si>
  <si>
    <t>Reduced pro-inflammatory cytokine production; enhanced anti-inflammatory responses - Effect on GVHD is Protective</t>
  </si>
  <si>
    <t>Butyrate (Clostridia); acetate; propionate</t>
  </si>
  <si>
    <t>3, 4</t>
  </si>
  <si>
    <t>Clostridia reduce GVHD; Faecalibacterium prausnitzii reduces GVHD</t>
  </si>
  <si>
    <t>Increased colonic Foxp3+ Treg expansion; induction of immune tolerance - Effect on GVHD is Protective</t>
  </si>
  <si>
    <t>Butyrate-producing Clostridia (IV, XIVa); F. prausnitzii</t>
  </si>
  <si>
    <t>5, 6</t>
  </si>
  <si>
    <t>Bifidobacterium reduces GVHD; Lactobacillus reduces GVHD</t>
  </si>
  <si>
    <t xml:space="preserve">Increased IgA production and mucosal immunity - Effect on GVHD is </t>
  </si>
  <si>
    <t>Intestinal bacteria (Bifidobacterium, Lactobacillus)</t>
  </si>
  <si>
    <t xml:space="preserve">Induction of IL-22; increased mucosal repair and epithelial homeostasis - Effect on GVHD is </t>
  </si>
  <si>
    <t>IAld</t>
  </si>
  <si>
    <t>Increased inflammatory responses in dysbiotic conditions - Effect on GVHD is Detrimental</t>
  </si>
  <si>
    <t>Bacteroides thetaiotaomicron (succinate)</t>
  </si>
  <si>
    <t>Suppression of TH1 differentiation - Effect on GVHD is Protective</t>
  </si>
  <si>
    <t>Clostridiales species</t>
  </si>
  <si>
    <t>GVHD exacerbation via MHC-II-dependent activation of alloreactive T cells</t>
  </si>
  <si>
    <t>Loss correlates with increased inflammatory complications</t>
  </si>
  <si>
    <t>Exacerbation of GVHD severity</t>
  </si>
  <si>
    <t>Residual recipient Enterococcus</t>
  </si>
  <si>
    <t>reduced GvHD risk - suspected mechanism was SCFA production, increased Treg induction</t>
  </si>
  <si>
    <t>Akkermansia genus</t>
  </si>
  <si>
    <t>reduced aGvHD risk - suspected mechanism was SCFA production, increased Treg induction</t>
  </si>
  <si>
    <t>Akkermansia muciniphila (at least, certain strains)</t>
  </si>
  <si>
    <t>reduced aGI-GvHD risk - suspected mechanism was decreased MyD88/TLR9 triggering</t>
  </si>
  <si>
    <t>Bacillus spp.</t>
  </si>
  <si>
    <t>reduced both aGvHD (and cGvHD) - suspected mechanism was glycoantigens (PSA) production, inducing human peripheral Tr1 cell differentiation</t>
  </si>
  <si>
    <t>reduced GvHD severity, reduced steroid-resistant aGI-GvHD, reduced GvHD-related death - suspected mechanism was xylose production, suppression of mucus-degrading gut microbes</t>
  </si>
  <si>
    <t>reduced aGvHD risk - suspected mechanism was increased production of metabolites, i.e., polyamines (N-acetyl putrescine and N-acetyl spermidine), secondary bile acids (isoDCA)</t>
  </si>
  <si>
    <t>reduced GvHD-related death, reduced GvHD severity, reduced aGvHD risk - suspected mechanism was increased Treg/Th17 ratio, SCFA production (butyrate, which binds to GPR43)</t>
  </si>
  <si>
    <t>Blautia genus</t>
  </si>
  <si>
    <t>reduced GvHD risk - suspected mechanism was Specific Foxp3+ Treg induction in mouse colon; SCFA production</t>
  </si>
  <si>
    <t>Clostridiales order (Faecalibacterium, Roseburia, Ruminococcus, Blautia)</t>
  </si>
  <si>
    <t>reduced aGvHD risk - suspected mechanism was maintenance of intestinal microbiota diversity</t>
  </si>
  <si>
    <t>reduced aGI-GvHD risk - suspected mechanism was inflammation prevention, possibly in a TLR4/LPS-dependent manner</t>
  </si>
  <si>
    <t>Coriobacteriaceae family</t>
  </si>
  <si>
    <t>reduced GvHD risk - suspected mechanism was TolDC induction, gut microbiota-reactive DP8alpha Treg induction, NF-kappaB inhibition via MAM, SCFA (particularly potent butyrate producer) production</t>
  </si>
  <si>
    <t>Faecalibacterium genus</t>
  </si>
  <si>
    <t>reduced aGvHD risk - suspected mechanism was SCFA production, increased Treg/Th17 ratio</t>
  </si>
  <si>
    <t>Lachnospiraceae family</t>
  </si>
  <si>
    <t>reduced GvHD risk - suspected mechanism was SCFA (mainly, lactate) production, inflammation, and gut damage prevention</t>
  </si>
  <si>
    <t>Ruminococcaceae genus</t>
  </si>
  <si>
    <t>reduced aGvHD risk - suspected mechanism was SCFA (propionate) production</t>
  </si>
  <si>
    <t>Veillonella genus</t>
  </si>
  <si>
    <t>reduced GvHD risk - suspected mechanism was SCFA (mainly, lactate) production, inflammation prevention, and increased Treg induction</t>
  </si>
  <si>
    <t>lactase-producing bacteria (mainly, Actinobacteria, Proteobacteria, Firmicutes)</t>
  </si>
  <si>
    <t>reduced GvHD-related death - suspected mechanism was modulation of MHC-II expression on IECs</t>
  </si>
  <si>
    <t>gentamicin-resistant bacteria</t>
  </si>
  <si>
    <t>vancomycin-resistant bacteria</t>
  </si>
  <si>
    <t>High diversity prior to transplant decreased aGvHD.
The cumulative incidence of grade 2 to 4 aGvHD was significantly lower in the higher diversity group than in the lower diversity group (20.0% ± 6.0% [SE] vs. 44.4% ± 7.4% [SE]; p = 0.017).
The cumulative incidence of grade 3 to 4 aGvHD was significantly lower in the higher diversity group than in the lower diversity group (2.2% ± 2.2% [SE] vs. 20.0% ± 6.0% [SE]; p = 0.007).</t>
  </si>
  <si>
    <t>Diversity</t>
  </si>
  <si>
    <t>The diversity between pre-HSCT samples were greater in individuals who developed intestinal GvHD (0.86 ± 0.15) than in individuals without GvHD (0.72 ± 0.15, p = 0.001) and individuals who developed less severe skin GvHD (0.77 ± 0.15, p = 0.02).</t>
  </si>
  <si>
    <t>(decrease) GvHD-related mortality
Increased intestinal diversity was associated with reduced GvHD-related mortality (p = 0.005).</t>
  </si>
  <si>
    <t>(increase) aGvHD
Decreased intestinal diversity at D + 10 was associated with increased risk of early onset aGvHD (OR 7.833; 95% CI 2.141-28.658; p = 0.038).</t>
  </si>
  <si>
    <t>(increase) GvHD-related mortality
GvHD-related mortality was higher in patients with low diversity (p = 0.018).</t>
  </si>
  <si>
    <t>(increase) aGvHD severity
Patients with severe aGvHD had significantly lower indexes of alpha diversity: Chao1 (p = 0.039) and Simpson (p = 0.013)</t>
  </si>
  <si>
    <t>(increase) aGvHD severity
Patients with severe aGvHD had a significantly lower alpha diversity index compared to both the control group and patients without severe aGvHD (p &lt; 0.05). This finding was statistically significant when analyzing all stool samples collected over the allo-HSCT and when analyzing only samples collected at the engraftment period.</t>
  </si>
  <si>
    <t>The Shannon diversity index at the time of engraftment was significantly associated with the incidence of aGvHD (p = 0.02)</t>
  </si>
  <si>
    <t>(decrease) GvHD-related mortality
By using a taxonomic discovery analysis, increase in the genus Blautia was significantly associated with reduced GvHD-related mortality (p = 0.01).
By stratifying patients based on Blautia median abundance, patients with higher abundance had reduced GvHD-related mortality (p = 0.04).
In a multivariable analysis, Blautia abundance remained associated with GvHD-related mortality (HR 0.18; 95% CI 0.05-0.63; p = 0.007).
(decrease) Refractory GvHD
Increased Blautia abundance was associated with reduced development of acute GvHD that required treatment with systemic corticosteroids or was steroid refractory (p = 0.01).
In a multivariable analysis, Blautia abundance remained associated with refractory GvHD (HR 0.3; 95% CI 0.14-0.64; p = 0.002).
(decrease) Liver GvHD
Increased Blautia abundance was associated with reduced liver GvHD (p = 0.02).</t>
  </si>
  <si>
    <t>SCFA-prodcing bacteria and SCFA levels over allo-hsct</t>
  </si>
  <si>
    <t>2, 18, 22, 31, 32</t>
  </si>
  <si>
    <t>SCFAs reduce GVHD; Blautia reduces GVHD; Faecalibacterium reduces GVHD; Anaerostipes reduces GVHD; Lachnoclostridium reduces GVHD</t>
  </si>
  <si>
    <t>(increase) aGvHD severity
When compared to controls (patients undergoing allo-HSCT without GvHD), patients with severe GvHD had a significant depletion of the Blautia coccoides group (p = 0.07). Similar findings were found when compared to patients with mild aGvHD (p = 0.036).
(increase) aGvHD severity
When compared to controls (patients undergoing allo-HSCT without GvHD), patients with severe GvHD had a significant depletion of Anaerostipes (p = 0.015).
(increase) aGvHD severity
When compared to controls (patients undergoing allo-HSCT without GvHD), patients with severe GvHD had a significant depletion of Faecalibacterium (p = 0.011).
(increase) aGvHD severity
When compared to controls (patients undergoing allo-HSCT without GvHD), patients with severe GvHD had a significant depletion of Lachnoclostridium (p = 0.019).
(increase) GvHD severity
When compared to controls (patients undergoing allo-HSCT without GvHD), patients with severe GvHD had significantly lower levels of total SCFAs (12.50 vs. 2.42; p = 0.0003), acetate (8.87 vs. 2.15; p = 0.002), butyrate (1.11 vs. 0.06; p = 0.001), and propionate (2.33 vs. 0.10; p = 0.0009).</t>
  </si>
  <si>
    <t>(decrease) GvHD
When compared to patients that developed GvHD, patients without GvHD had significantly higher levels of butyrate (1.77 vs. 0.0550; p = 0.0142), propionate (6.63 vs. 0.208; p = 0.0108) and acetate (39.6 vs. 7.92; p = 0.047) at samples collected at D + 14.</t>
  </si>
  <si>
    <t>(increase) GI-GvHD severity
Low BCoAT copy numbers at GvHD onset were correlated with GI-GvHD severity (p = 002; r = 0.3).
(increase) GI-GvHD
Patients with GI-GvHD had lower BCoAT copy numbers than patients with other organs manifestations (0 copies vs. 3.16 x 10^6 copies; p = 0.006; r = 0.3).
(increase) GvHD-related Mortality
Patients with low BCoAT copy numbers displayed significantly higher GvHD-associated mortality rate than those with high BCoAT concentrations (p = 0.04).</t>
  </si>
  <si>
    <t>(increase) GvHD
A significant decrease in acetate levels was detected in patients who developed GvHD (log2FC median = -2.36; p = 0.049).</t>
  </si>
  <si>
    <t>(increase) GvHD-related mortality
Patients with Enterococcus domination in the early-post transplant period had significantly increased GvHD-related mortality in univariate analysis (HR 2.04; 95% CI 1.18-3.52; p = 0.05). This finding remaining significant in a multivariate analysis adjusted for graft source, age, conditioning intensity, gender and underlying disease (HR 2.60; 95% CI 1.46-4.62; p &lt; 0.01).
(increase) GvHD severity (grade 2-4)
Patients with Enterococcus domination in the early-post transplant period had significantly increased GvHD severity (grade 2-4) in univariate analysis (HR 1.44; 95% CI 1.10-1.88; p &lt; 0.01). This finding remained significant in a multivariate analysis adjusted for graft source, age, conditioning intensity, gender and underlying disease (HR 1.32; 95% CI 1.00-1.75; p &lt; 0.05).</t>
  </si>
  <si>
    <t>Enterococcus domination</t>
  </si>
  <si>
    <t>Bacteroides ovatus Depleted afterhigh-risk antibioticexposure, lowabundanceassociated withsteroid-refractoryGVHD</t>
  </si>
  <si>
    <t>Akkermansia Associated with GVHD development</t>
  </si>
  <si>
    <t>Lactobacillales Associated with increased severe GVHD</t>
  </si>
  <si>
    <t>Enterococcus Associated with bloodstream infections, GVHDand poor survival</t>
  </si>
  <si>
    <t>Blautia Associated with higher intestinal MAITcell frequency, lower lethality from GVHD</t>
  </si>
  <si>
    <t>Lachnoclostridium Associated with decreased GVHD development. Beneficial commensals that when present in lowerrelative abundance have been associated with unfavourable outcomes. .</t>
  </si>
  <si>
    <t>Ruminococcaceae Associated with high 3-IS levels and decreased GVHD</t>
  </si>
  <si>
    <t>Low abundance is associated with shorter overall survival and higher GVHD-related mortality. Beneficial commensals that when present in lowerrelative abundance have been associated with unfavourable outcomes.</t>
  </si>
  <si>
    <t>Produce TryptophanwhichConverted into bioactive metabolites that regulate immune cells- Restores microbial diversity and enhances production of immune-modulating metabolites; reduces the severity of GVHD</t>
  </si>
  <si>
    <t>Bacteroides fragilis, Clostridium sporogenes, Eubacterium hallii</t>
  </si>
  <si>
    <t>Produce Phenylacetic acidwhichInteracts with T cells and macrophages, influences Treg cell differentiation, modulates cytokine production and immune responses- Reduction of inflammatory signalling in GVHD</t>
  </si>
  <si>
    <t>Clostridium spp., Bacteroides spp.</t>
  </si>
  <si>
    <t>Loss of SCFAs (notably butyrate) worsens mucosal damage and graft-versus-host disease after allo-HCT.</t>
  </si>
  <si>
    <t>Microbial metabolite modulation of mucosal injury &amp; GVHD</t>
  </si>
  <si>
    <t>3, 16, 38, 39</t>
  </si>
  <si>
    <t>Clostridia reduce GVHD; Bacteroides fragilis reduces GVHD; Secondary bile acids reduce GVHD; Dysbiosis exacerbates GVHD</t>
  </si>
  <si>
    <t>Clostridia clusters produce butyrate, expanding colonic Foxp3+ Tregs.
Bacteroides fragilis PSA induces IL-10+ Tregs via TLR2.
Secondary bile acids like isoalloLCA promote mitochondrial ROS for Foxp3 expression.
Dysbiosis and antibiotics reduce Treg numbers and alter their crosstalk with CD8 T cells, tipping balance toward GvHD.</t>
  </si>
  <si>
    <t>Clostridia, Bacteroides fragilis</t>
  </si>
  <si>
    <t>10, 29, 40</t>
  </si>
  <si>
    <t>Enterococcus exacerbates GVHD; Higher gut microbiome diversity reduces GVHD; Streptococcus exacerbates GVHD</t>
  </si>
  <si>
    <t>Higher diversity of intestinal microbiota at the time of neutrophil engraftment was associated with increased OS. Abundance of Enterococcus and Streptococcus spp. linked to increased GVHD risk.</t>
  </si>
  <si>
    <t>Enterococcus and Streptococcus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</si>
</sst>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5F"/>
      <name val="Arial"/>
      <family val="2"/>
    </font>
    <font>
      <sz val="10"/>
      <color rgb="FF666666"/>
      <name val="Arial"/>
      <family val="2"/>
    </font>
    <font>
      <sz val="10"/>
      <color rgb="FF000000"/>
      <name val="Arial"/>
      <family val="2"/>
    </font>
    <font>
      <b/>
      <sz val="12"/>
      <color rgb="FF1F4E5F"/>
      <name val="Arial"/>
      <family val="2"/>
    </font>
    <font>
      <b/>
      <sz val="12"/>
      <color rgb="FFB45F0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DE2F0"/>
        <bgColor rgb="FFD0D0D0"/>
      </patternFill>
    </fill>
    <fill>
      <patternFill patternType="solid">
        <fgColor rgb="FFF4CCCC"/>
        <bgColor rgb="FFD0D0D0"/>
      </patternFill>
    </fill>
    <fill>
      <patternFill patternType="solid">
        <fgColor rgb="FFEFEFE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5" borderId="1" xfId="0" applyFont="1" applyFill="1" applyBorder="1" applyAlignment="1">
      <alignment vertical="top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DE2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B45F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showGridLines="0" topLeftCell="A15" zoomScaleNormal="100" workbookViewId="0"/>
  </sheetViews>
  <sheetFormatPr baseColWidth="10" defaultColWidth="8.6640625" defaultRowHeight="15" x14ac:dyDescent="0.2"/>
  <cols>
    <col min="1" max="1" width="100" customWidth="1"/>
  </cols>
  <sheetData>
    <row r="1" spans="1:1" ht="20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3"/>
    </row>
    <row r="5" spans="1:1" ht="16" x14ac:dyDescent="0.2">
      <c r="A5" s="4" t="s">
        <v>3</v>
      </c>
    </row>
    <row r="6" spans="1:1" x14ac:dyDescent="0.2">
      <c r="A6" s="3" t="s">
        <v>4</v>
      </c>
    </row>
    <row r="7" spans="1:1" x14ac:dyDescent="0.2">
      <c r="A7" s="3" t="s">
        <v>5</v>
      </c>
    </row>
    <row r="8" spans="1:1" x14ac:dyDescent="0.2">
      <c r="A8" s="3" t="s">
        <v>6</v>
      </c>
    </row>
    <row r="9" spans="1:1" x14ac:dyDescent="0.2">
      <c r="A9" s="3" t="s">
        <v>7</v>
      </c>
    </row>
    <row r="10" spans="1:1" x14ac:dyDescent="0.2">
      <c r="A10" s="3"/>
    </row>
    <row r="11" spans="1:1" ht="16" x14ac:dyDescent="0.2">
      <c r="A11" s="4" t="s">
        <v>8</v>
      </c>
    </row>
    <row r="12" spans="1:1" x14ac:dyDescent="0.2">
      <c r="A12" s="3" t="s">
        <v>9</v>
      </c>
    </row>
    <row r="13" spans="1:1" x14ac:dyDescent="0.2">
      <c r="A13" s="3" t="s">
        <v>10</v>
      </c>
    </row>
    <row r="14" spans="1:1" x14ac:dyDescent="0.2">
      <c r="A14" s="3"/>
    </row>
    <row r="15" spans="1:1" ht="16" x14ac:dyDescent="0.2">
      <c r="A15" s="4" t="s">
        <v>11</v>
      </c>
    </row>
    <row r="16" spans="1:1" x14ac:dyDescent="0.2">
      <c r="A16" s="3" t="s">
        <v>12</v>
      </c>
    </row>
    <row r="17" spans="1:1" x14ac:dyDescent="0.2">
      <c r="A17" s="3" t="s">
        <v>13</v>
      </c>
    </row>
    <row r="18" spans="1:1" x14ac:dyDescent="0.2">
      <c r="A18" s="3" t="s">
        <v>14</v>
      </c>
    </row>
    <row r="19" spans="1:1" x14ac:dyDescent="0.2">
      <c r="A19" s="3" t="s">
        <v>15</v>
      </c>
    </row>
    <row r="20" spans="1:1" x14ac:dyDescent="0.2">
      <c r="A20" s="3"/>
    </row>
    <row r="21" spans="1:1" ht="16" x14ac:dyDescent="0.2">
      <c r="A21" s="4" t="s">
        <v>16</v>
      </c>
    </row>
    <row r="22" spans="1:1" x14ac:dyDescent="0.2">
      <c r="A22" s="3" t="s">
        <v>17</v>
      </c>
    </row>
    <row r="23" spans="1:1" x14ac:dyDescent="0.2">
      <c r="A23" s="3" t="s">
        <v>18</v>
      </c>
    </row>
    <row r="24" spans="1:1" x14ac:dyDescent="0.2">
      <c r="A24" s="3" t="s">
        <v>19</v>
      </c>
    </row>
    <row r="25" spans="1:1" x14ac:dyDescent="0.2">
      <c r="A25" s="3"/>
    </row>
    <row r="26" spans="1:1" ht="16" x14ac:dyDescent="0.2">
      <c r="A26" s="5" t="s">
        <v>20</v>
      </c>
    </row>
    <row r="27" spans="1:1" x14ac:dyDescent="0.2">
      <c r="A27" s="3" t="s">
        <v>21</v>
      </c>
    </row>
    <row r="28" spans="1:1" x14ac:dyDescent="0.2">
      <c r="A28" s="3" t="s">
        <v>22</v>
      </c>
    </row>
    <row r="29" spans="1:1" x14ac:dyDescent="0.2">
      <c r="A29" s="3" t="s">
        <v>23</v>
      </c>
    </row>
    <row r="30" spans="1:1" x14ac:dyDescent="0.2">
      <c r="A30" s="3"/>
    </row>
    <row r="31" spans="1:1" ht="16" x14ac:dyDescent="0.2">
      <c r="A31" s="5" t="s">
        <v>24</v>
      </c>
    </row>
    <row r="32" spans="1:1" x14ac:dyDescent="0.2">
      <c r="A32" s="3" t="s">
        <v>25</v>
      </c>
    </row>
    <row r="33" spans="1:1" x14ac:dyDescent="0.2">
      <c r="A33" s="3" t="s">
        <v>26</v>
      </c>
    </row>
    <row r="34" spans="1:1" x14ac:dyDescent="0.2">
      <c r="A34" s="3" t="s">
        <v>27</v>
      </c>
    </row>
    <row r="35" spans="1:1" x14ac:dyDescent="0.2">
      <c r="A35" s="3" t="s">
        <v>28</v>
      </c>
    </row>
    <row r="36" spans="1:1" x14ac:dyDescent="0.2">
      <c r="A36" s="3" t="s">
        <v>29</v>
      </c>
    </row>
    <row r="37" spans="1:1" x14ac:dyDescent="0.2">
      <c r="A37" s="3" t="s">
        <v>30</v>
      </c>
    </row>
    <row r="38" spans="1:1" x14ac:dyDescent="0.2">
      <c r="A38" s="3" t="s">
        <v>31</v>
      </c>
    </row>
    <row r="39" spans="1:1" x14ac:dyDescent="0.2">
      <c r="A39" s="3" t="s">
        <v>32</v>
      </c>
    </row>
    <row r="40" spans="1:1" x14ac:dyDescent="0.2">
      <c r="A40" s="3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baseColWidth="10" defaultColWidth="8.6640625" defaultRowHeight="15" x14ac:dyDescent="0.2"/>
  <cols>
    <col min="1" max="1" width="14" customWidth="1"/>
    <col min="2" max="2" width="42" customWidth="1"/>
    <col min="3" max="3" width="30" customWidth="1"/>
    <col min="4" max="4" width="12" customWidth="1"/>
    <col min="5" max="5" width="16" customWidth="1"/>
    <col min="6" max="6" width="14" customWidth="1"/>
    <col min="7" max="8" width="13" customWidth="1"/>
    <col min="9" max="9" width="12" customWidth="1"/>
    <col min="10" max="10" width="10" customWidth="1"/>
    <col min="11" max="11" width="26" customWidth="1"/>
  </cols>
  <sheetData>
    <row r="1" spans="1:11" ht="30" customHeight="1" x14ac:dyDescent="0.2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43</v>
      </c>
      <c r="K1" s="6" t="s">
        <v>44</v>
      </c>
    </row>
    <row r="2" spans="1:11" x14ac:dyDescent="0.2">
      <c r="A2" s="7">
        <v>1</v>
      </c>
      <c r="B2" s="8" t="s">
        <v>45</v>
      </c>
      <c r="C2" s="7" t="s">
        <v>46</v>
      </c>
      <c r="D2" s="7" t="s">
        <v>47</v>
      </c>
      <c r="E2" s="7" t="s">
        <v>48</v>
      </c>
      <c r="F2" s="7" t="s">
        <v>49</v>
      </c>
      <c r="G2" s="9" t="s">
        <v>50</v>
      </c>
      <c r="H2" s="7">
        <f>COUNTIF(Atomic_Claims!J:J,A2)</f>
        <v>1</v>
      </c>
      <c r="I2" s="7">
        <v>5</v>
      </c>
      <c r="J2" s="7">
        <v>1</v>
      </c>
      <c r="K2" s="8" t="s">
        <v>51</v>
      </c>
    </row>
    <row r="3" spans="1:11" ht="28" x14ac:dyDescent="0.2">
      <c r="A3" s="7">
        <v>2</v>
      </c>
      <c r="B3" s="8" t="s">
        <v>52</v>
      </c>
      <c r="C3" s="7" t="s">
        <v>53</v>
      </c>
      <c r="D3" s="7" t="s">
        <v>47</v>
      </c>
      <c r="E3" s="7" t="s">
        <v>54</v>
      </c>
      <c r="F3" s="7" t="s">
        <v>49</v>
      </c>
      <c r="G3" s="9" t="s">
        <v>50</v>
      </c>
      <c r="H3" s="7">
        <f>COUNTIF(Atomic_Claims!J:J,A3)</f>
        <v>5</v>
      </c>
      <c r="I3" s="7">
        <v>9</v>
      </c>
      <c r="J3" s="7">
        <v>3</v>
      </c>
      <c r="K3" s="8" t="s">
        <v>55</v>
      </c>
    </row>
    <row r="4" spans="1:11" ht="42" x14ac:dyDescent="0.2">
      <c r="A4" s="7">
        <v>3</v>
      </c>
      <c r="B4" s="8" t="s">
        <v>56</v>
      </c>
      <c r="C4" s="7" t="s">
        <v>57</v>
      </c>
      <c r="D4" s="7" t="s">
        <v>58</v>
      </c>
      <c r="E4" s="7" t="s">
        <v>57</v>
      </c>
      <c r="F4" s="7" t="s">
        <v>49</v>
      </c>
      <c r="G4" s="9" t="s">
        <v>50</v>
      </c>
      <c r="H4" s="7">
        <f>COUNTIF(Atomic_Claims!J:J,A4)</f>
        <v>3</v>
      </c>
      <c r="I4" s="7">
        <v>7</v>
      </c>
      <c r="J4" s="7">
        <v>3</v>
      </c>
      <c r="K4" s="8" t="s">
        <v>59</v>
      </c>
    </row>
    <row r="5" spans="1:11" x14ac:dyDescent="0.2">
      <c r="A5" s="7">
        <v>4</v>
      </c>
      <c r="B5" s="8" t="s">
        <v>60</v>
      </c>
      <c r="C5" s="7" t="s">
        <v>61</v>
      </c>
      <c r="D5" s="7" t="s">
        <v>62</v>
      </c>
      <c r="E5" s="7" t="s">
        <v>63</v>
      </c>
      <c r="F5" s="7" t="s">
        <v>49</v>
      </c>
      <c r="G5" s="9" t="s">
        <v>50</v>
      </c>
      <c r="H5" s="7">
        <f>COUNTIF(Atomic_Claims!J:J,A5)</f>
        <v>1</v>
      </c>
      <c r="I5" s="7">
        <v>3</v>
      </c>
      <c r="J5" s="7">
        <v>1</v>
      </c>
      <c r="K5" s="8" t="s">
        <v>51</v>
      </c>
    </row>
    <row r="6" spans="1:11" ht="28" x14ac:dyDescent="0.2">
      <c r="A6" s="7">
        <v>5</v>
      </c>
      <c r="B6" s="8" t="s">
        <v>64</v>
      </c>
      <c r="C6" s="7" t="s">
        <v>65</v>
      </c>
      <c r="D6" s="7" t="s">
        <v>66</v>
      </c>
      <c r="E6" s="7" t="s">
        <v>65</v>
      </c>
      <c r="F6" s="7" t="s">
        <v>49</v>
      </c>
      <c r="G6" s="9" t="s">
        <v>50</v>
      </c>
      <c r="H6" s="7">
        <f>COUNTIF(Atomic_Claims!J:J,A6)</f>
        <v>3</v>
      </c>
      <c r="I6" s="7">
        <v>4</v>
      </c>
      <c r="J6" s="7">
        <v>2</v>
      </c>
      <c r="K6" s="8" t="s">
        <v>67</v>
      </c>
    </row>
    <row r="7" spans="1:11" ht="28" x14ac:dyDescent="0.2">
      <c r="A7" s="7">
        <v>6</v>
      </c>
      <c r="B7" s="8" t="s">
        <v>68</v>
      </c>
      <c r="C7" s="7" t="s">
        <v>69</v>
      </c>
      <c r="D7" s="7" t="s">
        <v>66</v>
      </c>
      <c r="E7" s="7" t="s">
        <v>69</v>
      </c>
      <c r="F7" s="7" t="s">
        <v>49</v>
      </c>
      <c r="G7" s="9" t="s">
        <v>50</v>
      </c>
      <c r="H7" s="7">
        <f>COUNTIF(Atomic_Claims!J:J,A7)</f>
        <v>2</v>
      </c>
      <c r="I7" s="7">
        <v>2</v>
      </c>
      <c r="J7" s="7">
        <v>2</v>
      </c>
      <c r="K7" s="8" t="s">
        <v>67</v>
      </c>
    </row>
    <row r="8" spans="1:11" x14ac:dyDescent="0.2">
      <c r="A8" s="7">
        <v>7</v>
      </c>
      <c r="B8" s="8" t="s">
        <v>70</v>
      </c>
      <c r="C8" s="7" t="s">
        <v>71</v>
      </c>
      <c r="D8" s="7" t="s">
        <v>47</v>
      </c>
      <c r="E8" s="7" t="s">
        <v>72</v>
      </c>
      <c r="F8" s="7" t="s">
        <v>49</v>
      </c>
      <c r="G8" s="9" t="s">
        <v>50</v>
      </c>
      <c r="H8" s="7">
        <f>COUNTIF(Atomic_Claims!J:J,A8)</f>
        <v>1</v>
      </c>
      <c r="I8" s="7">
        <v>1</v>
      </c>
      <c r="J8" s="7">
        <v>1</v>
      </c>
      <c r="K8" s="8" t="s">
        <v>51</v>
      </c>
    </row>
    <row r="9" spans="1:11" x14ac:dyDescent="0.2">
      <c r="A9" s="7">
        <v>8</v>
      </c>
      <c r="B9" s="8" t="s">
        <v>73</v>
      </c>
      <c r="C9" s="7" t="s">
        <v>74</v>
      </c>
      <c r="D9" s="7" t="s">
        <v>62</v>
      </c>
      <c r="E9" s="7" t="s">
        <v>75</v>
      </c>
      <c r="F9" s="7" t="s">
        <v>49</v>
      </c>
      <c r="G9" s="10" t="s">
        <v>76</v>
      </c>
      <c r="H9" s="7">
        <f>COUNTIF(Atomic_Claims!J:J,A9)</f>
        <v>1</v>
      </c>
      <c r="I9" s="7">
        <v>1</v>
      </c>
      <c r="J9" s="7">
        <v>1</v>
      </c>
      <c r="K9" s="8" t="s">
        <v>51</v>
      </c>
    </row>
    <row r="10" spans="1:11" x14ac:dyDescent="0.2">
      <c r="A10" s="7">
        <v>9</v>
      </c>
      <c r="B10" s="8" t="s">
        <v>77</v>
      </c>
      <c r="C10" s="7" t="s">
        <v>78</v>
      </c>
      <c r="D10" s="7" t="s">
        <v>62</v>
      </c>
      <c r="E10" s="7" t="s">
        <v>57</v>
      </c>
      <c r="F10" s="7" t="s">
        <v>49</v>
      </c>
      <c r="G10" s="9" t="s">
        <v>50</v>
      </c>
      <c r="H10" s="7">
        <f>COUNTIF(Atomic_Claims!J:J,A10)</f>
        <v>1</v>
      </c>
      <c r="I10" s="7">
        <v>2</v>
      </c>
      <c r="J10" s="7">
        <v>1</v>
      </c>
      <c r="K10" s="8" t="s">
        <v>51</v>
      </c>
    </row>
    <row r="11" spans="1:11" ht="42" x14ac:dyDescent="0.2">
      <c r="A11" s="7">
        <v>10</v>
      </c>
      <c r="B11" s="8" t="s">
        <v>79</v>
      </c>
      <c r="C11" s="7" t="s">
        <v>80</v>
      </c>
      <c r="D11" s="7" t="s">
        <v>66</v>
      </c>
      <c r="E11" s="7" t="s">
        <v>80</v>
      </c>
      <c r="F11" s="7" t="s">
        <v>49</v>
      </c>
      <c r="G11" s="10" t="s">
        <v>76</v>
      </c>
      <c r="H11" s="7">
        <f>COUNTIF(Atomic_Claims!J:J,A11)</f>
        <v>5</v>
      </c>
      <c r="I11" s="7">
        <v>7</v>
      </c>
      <c r="J11" s="7">
        <v>4</v>
      </c>
      <c r="K11" s="8" t="s">
        <v>81</v>
      </c>
    </row>
    <row r="12" spans="1:11" ht="28" x14ac:dyDescent="0.2">
      <c r="A12" s="7">
        <v>11</v>
      </c>
      <c r="B12" s="8" t="s">
        <v>82</v>
      </c>
      <c r="C12" s="7" t="s">
        <v>83</v>
      </c>
      <c r="D12" s="7" t="s">
        <v>84</v>
      </c>
      <c r="E12" s="7" t="s">
        <v>57</v>
      </c>
      <c r="F12" s="7" t="s">
        <v>49</v>
      </c>
      <c r="G12" s="9" t="s">
        <v>50</v>
      </c>
      <c r="H12" s="7">
        <f>COUNTIF(Atomic_Claims!J:J,A12)</f>
        <v>2</v>
      </c>
      <c r="I12" s="7">
        <v>3</v>
      </c>
      <c r="J12" s="7">
        <v>2</v>
      </c>
      <c r="K12" s="8" t="s">
        <v>67</v>
      </c>
    </row>
    <row r="13" spans="1:11" x14ac:dyDescent="0.2">
      <c r="A13" s="7">
        <v>12</v>
      </c>
      <c r="B13" s="8" t="s">
        <v>85</v>
      </c>
      <c r="C13" s="7" t="s">
        <v>69</v>
      </c>
      <c r="D13" s="7" t="s">
        <v>66</v>
      </c>
      <c r="E13" s="7" t="s">
        <v>69</v>
      </c>
      <c r="F13" s="7" t="s">
        <v>49</v>
      </c>
      <c r="G13" s="10" t="s">
        <v>76</v>
      </c>
      <c r="H13" s="7">
        <f>COUNTIF(Atomic_Claims!J:J,A13)</f>
        <v>1</v>
      </c>
      <c r="I13" s="7">
        <v>1</v>
      </c>
      <c r="J13" s="7">
        <v>1</v>
      </c>
      <c r="K13" s="8" t="s">
        <v>51</v>
      </c>
    </row>
    <row r="14" spans="1:11" x14ac:dyDescent="0.2">
      <c r="A14" s="7">
        <v>13</v>
      </c>
      <c r="B14" s="8" t="s">
        <v>86</v>
      </c>
      <c r="C14" s="7" t="s">
        <v>87</v>
      </c>
      <c r="D14" s="7" t="s">
        <v>66</v>
      </c>
      <c r="E14" s="7" t="s">
        <v>87</v>
      </c>
      <c r="F14" s="7" t="s">
        <v>49</v>
      </c>
      <c r="G14" s="9" t="s">
        <v>50</v>
      </c>
      <c r="H14" s="7">
        <f>COUNTIF(Atomic_Claims!J:J,A14)</f>
        <v>1</v>
      </c>
      <c r="I14" s="7">
        <v>2</v>
      </c>
      <c r="J14" s="7">
        <v>1</v>
      </c>
      <c r="K14" s="8" t="s">
        <v>88</v>
      </c>
    </row>
    <row r="15" spans="1:11" x14ac:dyDescent="0.2">
      <c r="A15" s="7">
        <v>14</v>
      </c>
      <c r="B15" s="8" t="s">
        <v>89</v>
      </c>
      <c r="C15" s="7" t="s">
        <v>90</v>
      </c>
      <c r="D15" s="7" t="s">
        <v>62</v>
      </c>
      <c r="E15" s="7" t="s">
        <v>87</v>
      </c>
      <c r="F15" s="7" t="s">
        <v>49</v>
      </c>
      <c r="G15" s="9" t="s">
        <v>50</v>
      </c>
      <c r="H15" s="7">
        <f>COUNTIF(Atomic_Claims!J:J,A15)</f>
        <v>1</v>
      </c>
      <c r="I15" s="7">
        <v>1</v>
      </c>
      <c r="J15" s="7">
        <v>1</v>
      </c>
      <c r="K15" s="8" t="s">
        <v>88</v>
      </c>
    </row>
    <row r="16" spans="1:11" x14ac:dyDescent="0.2">
      <c r="A16" s="7">
        <v>15</v>
      </c>
      <c r="B16" s="8" t="s">
        <v>91</v>
      </c>
      <c r="C16" s="7" t="s">
        <v>92</v>
      </c>
      <c r="D16" s="7" t="s">
        <v>66</v>
      </c>
      <c r="E16" s="7" t="s">
        <v>92</v>
      </c>
      <c r="F16" s="7" t="s">
        <v>49</v>
      </c>
      <c r="G16" s="9" t="s">
        <v>50</v>
      </c>
      <c r="H16" s="7">
        <f>COUNTIF(Atomic_Claims!J:J,A16)</f>
        <v>1</v>
      </c>
      <c r="I16" s="7">
        <v>1</v>
      </c>
      <c r="J16" s="7">
        <v>1</v>
      </c>
      <c r="K16" s="8" t="s">
        <v>88</v>
      </c>
    </row>
    <row r="17" spans="1:11" x14ac:dyDescent="0.2">
      <c r="A17" s="7">
        <v>16</v>
      </c>
      <c r="B17" s="8" t="s">
        <v>93</v>
      </c>
      <c r="C17" s="7" t="s">
        <v>94</v>
      </c>
      <c r="D17" s="7" t="s">
        <v>62</v>
      </c>
      <c r="E17" s="7" t="s">
        <v>75</v>
      </c>
      <c r="F17" s="7" t="s">
        <v>49</v>
      </c>
      <c r="G17" s="9" t="s">
        <v>50</v>
      </c>
      <c r="H17" s="7">
        <f>COUNTIF(Atomic_Claims!J:J,A17)</f>
        <v>2</v>
      </c>
      <c r="I17" s="7">
        <v>5</v>
      </c>
      <c r="J17" s="7">
        <v>2</v>
      </c>
      <c r="K17" s="8" t="s">
        <v>95</v>
      </c>
    </row>
    <row r="18" spans="1:11" ht="28" x14ac:dyDescent="0.2">
      <c r="A18" s="7">
        <v>17</v>
      </c>
      <c r="B18" s="8" t="s">
        <v>96</v>
      </c>
      <c r="C18" s="7" t="s">
        <v>97</v>
      </c>
      <c r="D18" s="7" t="s">
        <v>62</v>
      </c>
      <c r="E18" s="7" t="s">
        <v>75</v>
      </c>
      <c r="F18" s="7" t="s">
        <v>49</v>
      </c>
      <c r="G18" s="9" t="s">
        <v>50</v>
      </c>
      <c r="H18" s="7">
        <f>COUNTIF(Atomic_Claims!J:J,A18)</f>
        <v>2</v>
      </c>
      <c r="I18" s="7">
        <v>1</v>
      </c>
      <c r="J18" s="7">
        <v>2</v>
      </c>
      <c r="K18" s="8" t="s">
        <v>98</v>
      </c>
    </row>
    <row r="19" spans="1:11" ht="28" x14ac:dyDescent="0.2">
      <c r="A19" s="7">
        <v>18</v>
      </c>
      <c r="B19" s="8" t="s">
        <v>99</v>
      </c>
      <c r="C19" s="7" t="s">
        <v>100</v>
      </c>
      <c r="D19" s="7" t="s">
        <v>66</v>
      </c>
      <c r="E19" s="7" t="s">
        <v>100</v>
      </c>
      <c r="F19" s="7" t="s">
        <v>49</v>
      </c>
      <c r="G19" s="9" t="s">
        <v>50</v>
      </c>
      <c r="H19" s="7">
        <f>COUNTIF(Atomic_Claims!J:J,A19)</f>
        <v>4</v>
      </c>
      <c r="I19" s="7">
        <v>8</v>
      </c>
      <c r="J19" s="7">
        <v>3</v>
      </c>
      <c r="K19" s="8" t="s">
        <v>101</v>
      </c>
    </row>
    <row r="20" spans="1:11" x14ac:dyDescent="0.2">
      <c r="A20" s="7">
        <v>19</v>
      </c>
      <c r="B20" s="8" t="s">
        <v>102</v>
      </c>
      <c r="C20" s="7" t="s">
        <v>103</v>
      </c>
      <c r="D20" s="7" t="s">
        <v>62</v>
      </c>
      <c r="E20" s="7" t="s">
        <v>57</v>
      </c>
      <c r="F20" s="7" t="s">
        <v>49</v>
      </c>
      <c r="G20" s="9" t="s">
        <v>50</v>
      </c>
      <c r="H20" s="7">
        <f>COUNTIF(Atomic_Claims!J:J,A20)</f>
        <v>1</v>
      </c>
      <c r="I20" s="7">
        <v>1</v>
      </c>
      <c r="J20" s="7">
        <v>1</v>
      </c>
      <c r="K20" s="8" t="s">
        <v>88</v>
      </c>
    </row>
    <row r="21" spans="1:11" x14ac:dyDescent="0.2">
      <c r="A21" s="7">
        <v>20</v>
      </c>
      <c r="B21" s="8" t="s">
        <v>104</v>
      </c>
      <c r="C21" s="7" t="s">
        <v>105</v>
      </c>
      <c r="D21" s="7" t="s">
        <v>106</v>
      </c>
      <c r="E21" s="7" t="s">
        <v>105</v>
      </c>
      <c r="F21" s="7" t="s">
        <v>49</v>
      </c>
      <c r="G21" s="9" t="s">
        <v>50</v>
      </c>
      <c r="H21" s="7">
        <f>COUNTIF(Atomic_Claims!J:J,A21)</f>
        <v>1</v>
      </c>
      <c r="I21" s="7">
        <v>1</v>
      </c>
      <c r="J21" s="7">
        <v>1</v>
      </c>
      <c r="K21" s="8" t="s">
        <v>88</v>
      </c>
    </row>
    <row r="22" spans="1:11" x14ac:dyDescent="0.2">
      <c r="A22" s="7">
        <v>21</v>
      </c>
      <c r="B22" s="8" t="s">
        <v>107</v>
      </c>
      <c r="C22" s="7" t="s">
        <v>108</v>
      </c>
      <c r="D22" s="7" t="s">
        <v>62</v>
      </c>
      <c r="E22" s="7" t="s">
        <v>63</v>
      </c>
      <c r="F22" s="7" t="s">
        <v>49</v>
      </c>
      <c r="G22" s="9" t="s">
        <v>50</v>
      </c>
      <c r="H22" s="7">
        <f>COUNTIF(Atomic_Claims!J:J,A22)</f>
        <v>1</v>
      </c>
      <c r="I22" s="7">
        <v>6</v>
      </c>
      <c r="J22" s="7">
        <v>1</v>
      </c>
      <c r="K22" s="8" t="s">
        <v>88</v>
      </c>
    </row>
    <row r="23" spans="1:11" x14ac:dyDescent="0.2">
      <c r="A23" s="7">
        <v>22</v>
      </c>
      <c r="B23" s="8" t="s">
        <v>109</v>
      </c>
      <c r="C23" s="7" t="s">
        <v>63</v>
      </c>
      <c r="D23" s="7" t="s">
        <v>66</v>
      </c>
      <c r="E23" s="7" t="s">
        <v>63</v>
      </c>
      <c r="F23" s="7" t="s">
        <v>49</v>
      </c>
      <c r="G23" s="9" t="s">
        <v>50</v>
      </c>
      <c r="H23" s="7">
        <f>COUNTIF(Atomic_Claims!J:J,A23)</f>
        <v>2</v>
      </c>
      <c r="I23" s="7">
        <v>2</v>
      </c>
      <c r="J23" s="7">
        <v>2</v>
      </c>
      <c r="K23" s="8" t="s">
        <v>110</v>
      </c>
    </row>
    <row r="24" spans="1:11" x14ac:dyDescent="0.2">
      <c r="A24" s="7">
        <v>23</v>
      </c>
      <c r="B24" s="8" t="s">
        <v>111</v>
      </c>
      <c r="C24" s="7" t="s">
        <v>112</v>
      </c>
      <c r="D24" s="7" t="s">
        <v>106</v>
      </c>
      <c r="E24" s="7" t="s">
        <v>112</v>
      </c>
      <c r="F24" s="7" t="s">
        <v>49</v>
      </c>
      <c r="G24" s="9" t="s">
        <v>50</v>
      </c>
      <c r="H24" s="7">
        <f>COUNTIF(Atomic_Claims!J:J,A24)</f>
        <v>1</v>
      </c>
      <c r="I24" s="7">
        <v>3</v>
      </c>
      <c r="J24" s="7">
        <v>1</v>
      </c>
      <c r="K24" s="8" t="s">
        <v>88</v>
      </c>
    </row>
    <row r="25" spans="1:11" ht="28" x14ac:dyDescent="0.2">
      <c r="A25" s="7">
        <v>24</v>
      </c>
      <c r="B25" s="8" t="s">
        <v>113</v>
      </c>
      <c r="C25" s="7" t="s">
        <v>114</v>
      </c>
      <c r="D25" s="7" t="s">
        <v>106</v>
      </c>
      <c r="E25" s="7" t="s">
        <v>114</v>
      </c>
      <c r="F25" s="7" t="s">
        <v>49</v>
      </c>
      <c r="G25" s="9" t="s">
        <v>50</v>
      </c>
      <c r="H25" s="7">
        <f>COUNTIF(Atomic_Claims!J:J,A25)</f>
        <v>2</v>
      </c>
      <c r="I25" s="7">
        <v>4</v>
      </c>
      <c r="J25" s="7">
        <v>2</v>
      </c>
      <c r="K25" s="8" t="s">
        <v>98</v>
      </c>
    </row>
    <row r="26" spans="1:11" x14ac:dyDescent="0.2">
      <c r="A26" s="7">
        <v>25</v>
      </c>
      <c r="B26" s="8" t="s">
        <v>115</v>
      </c>
      <c r="C26" s="7" t="s">
        <v>116</v>
      </c>
      <c r="D26" s="7" t="s">
        <v>66</v>
      </c>
      <c r="E26" s="7" t="s">
        <v>116</v>
      </c>
      <c r="F26" s="7" t="s">
        <v>49</v>
      </c>
      <c r="G26" s="9" t="s">
        <v>50</v>
      </c>
      <c r="H26" s="7">
        <f>COUNTIF(Atomic_Claims!J:J,A26)</f>
        <v>1</v>
      </c>
      <c r="I26" s="7">
        <v>2</v>
      </c>
      <c r="J26" s="7">
        <v>1</v>
      </c>
      <c r="K26" s="8" t="s">
        <v>88</v>
      </c>
    </row>
    <row r="27" spans="1:11" x14ac:dyDescent="0.2">
      <c r="A27" s="7">
        <v>26</v>
      </c>
      <c r="B27" s="8" t="s">
        <v>117</v>
      </c>
      <c r="C27" s="7" t="s">
        <v>118</v>
      </c>
      <c r="D27" s="7" t="s">
        <v>119</v>
      </c>
      <c r="E27" s="7" t="s">
        <v>120</v>
      </c>
      <c r="F27" s="7" t="s">
        <v>49</v>
      </c>
      <c r="G27" s="9" t="s">
        <v>50</v>
      </c>
      <c r="H27" s="7">
        <f>COUNTIF(Atomic_Claims!J:J,A27)</f>
        <v>1</v>
      </c>
      <c r="I27" s="7">
        <v>2</v>
      </c>
      <c r="J27" s="7">
        <v>1</v>
      </c>
      <c r="K27" s="8" t="s">
        <v>88</v>
      </c>
    </row>
    <row r="28" spans="1:11" x14ac:dyDescent="0.2">
      <c r="A28" s="7">
        <v>27</v>
      </c>
      <c r="B28" s="8" t="s">
        <v>121</v>
      </c>
      <c r="C28" s="7" t="s">
        <v>122</v>
      </c>
      <c r="D28" s="7" t="s">
        <v>119</v>
      </c>
      <c r="E28" s="7" t="s">
        <v>120</v>
      </c>
      <c r="F28" s="7" t="s">
        <v>49</v>
      </c>
      <c r="G28" s="9" t="s">
        <v>50</v>
      </c>
      <c r="H28" s="7">
        <f>COUNTIF(Atomic_Claims!J:J,A28)</f>
        <v>1</v>
      </c>
      <c r="I28" s="7">
        <v>1</v>
      </c>
      <c r="J28" s="7">
        <v>1</v>
      </c>
      <c r="K28" s="8" t="s">
        <v>88</v>
      </c>
    </row>
    <row r="29" spans="1:11" x14ac:dyDescent="0.2">
      <c r="A29" s="7">
        <v>28</v>
      </c>
      <c r="B29" s="8" t="s">
        <v>123</v>
      </c>
      <c r="C29" s="7" t="s">
        <v>124</v>
      </c>
      <c r="D29" s="7" t="s">
        <v>119</v>
      </c>
      <c r="E29" s="7" t="s">
        <v>120</v>
      </c>
      <c r="F29" s="7" t="s">
        <v>49</v>
      </c>
      <c r="G29" s="9" t="s">
        <v>50</v>
      </c>
      <c r="H29" s="7">
        <f>COUNTIF(Atomic_Claims!J:J,A29)</f>
        <v>1</v>
      </c>
      <c r="I29" s="7">
        <v>1</v>
      </c>
      <c r="J29" s="7">
        <v>1</v>
      </c>
      <c r="K29" s="8" t="s">
        <v>88</v>
      </c>
    </row>
    <row r="30" spans="1:11" x14ac:dyDescent="0.2">
      <c r="A30" s="7">
        <v>29</v>
      </c>
      <c r="B30" s="8" t="s">
        <v>125</v>
      </c>
      <c r="C30" s="7" t="s">
        <v>126</v>
      </c>
      <c r="D30" s="7" t="s">
        <v>119</v>
      </c>
      <c r="E30" s="7" t="s">
        <v>127</v>
      </c>
      <c r="F30" s="7" t="s">
        <v>49</v>
      </c>
      <c r="G30" s="9" t="s">
        <v>50</v>
      </c>
      <c r="H30" s="7">
        <f>COUNTIF(Atomic_Claims!J:J,A30)</f>
        <v>8</v>
      </c>
      <c r="I30" s="7">
        <v>8</v>
      </c>
      <c r="J30" s="7">
        <v>2</v>
      </c>
      <c r="K30" s="8" t="s">
        <v>128</v>
      </c>
    </row>
    <row r="31" spans="1:11" ht="28" x14ac:dyDescent="0.2">
      <c r="A31" s="7">
        <v>30</v>
      </c>
      <c r="B31" s="8" t="s">
        <v>129</v>
      </c>
      <c r="C31" s="7" t="s">
        <v>130</v>
      </c>
      <c r="D31" s="7" t="s">
        <v>119</v>
      </c>
      <c r="E31" s="7" t="s">
        <v>127</v>
      </c>
      <c r="F31" s="7" t="s">
        <v>49</v>
      </c>
      <c r="G31" s="11" t="s">
        <v>131</v>
      </c>
      <c r="H31" s="7">
        <f>COUNTIF(Atomic_Claims!J:J,A31)</f>
        <v>1</v>
      </c>
      <c r="I31" s="7">
        <v>1</v>
      </c>
      <c r="J31" s="7">
        <v>1</v>
      </c>
      <c r="K31" s="8" t="s">
        <v>132</v>
      </c>
    </row>
    <row r="32" spans="1:11" x14ac:dyDescent="0.2">
      <c r="A32" s="7">
        <v>31</v>
      </c>
      <c r="B32" s="8" t="s">
        <v>133</v>
      </c>
      <c r="C32" s="7" t="s">
        <v>134</v>
      </c>
      <c r="D32" s="7" t="s">
        <v>66</v>
      </c>
      <c r="E32" s="7" t="s">
        <v>112</v>
      </c>
      <c r="F32" s="7" t="s">
        <v>49</v>
      </c>
      <c r="G32" s="9" t="s">
        <v>50</v>
      </c>
      <c r="H32" s="7">
        <f>COUNTIF(Atomic_Claims!J:J,A32)</f>
        <v>1</v>
      </c>
      <c r="I32" s="7">
        <v>1</v>
      </c>
      <c r="J32" s="7">
        <v>1</v>
      </c>
      <c r="K32" s="8" t="s">
        <v>132</v>
      </c>
    </row>
    <row r="33" spans="1:11" x14ac:dyDescent="0.2">
      <c r="A33" s="7">
        <v>32</v>
      </c>
      <c r="B33" s="8" t="s">
        <v>135</v>
      </c>
      <c r="C33" s="7" t="s">
        <v>136</v>
      </c>
      <c r="D33" s="7" t="s">
        <v>66</v>
      </c>
      <c r="E33" s="7" t="s">
        <v>112</v>
      </c>
      <c r="F33" s="7" t="s">
        <v>49</v>
      </c>
      <c r="G33" s="9" t="s">
        <v>50</v>
      </c>
      <c r="H33" s="7">
        <f>COUNTIF(Atomic_Claims!J:J,A33)</f>
        <v>2</v>
      </c>
      <c r="I33" s="7">
        <v>2</v>
      </c>
      <c r="J33" s="7">
        <v>2</v>
      </c>
      <c r="K33" s="8" t="s">
        <v>137</v>
      </c>
    </row>
    <row r="34" spans="1:11" x14ac:dyDescent="0.2">
      <c r="A34" s="7">
        <v>33</v>
      </c>
      <c r="B34" s="8" t="s">
        <v>138</v>
      </c>
      <c r="C34" s="7" t="s">
        <v>139</v>
      </c>
      <c r="D34" s="7" t="s">
        <v>119</v>
      </c>
      <c r="E34" s="7" t="s">
        <v>120</v>
      </c>
      <c r="F34" s="7" t="s">
        <v>49</v>
      </c>
      <c r="G34" s="9" t="s">
        <v>50</v>
      </c>
      <c r="H34" s="7">
        <f>COUNTIF(Atomic_Claims!J:J,A34)</f>
        <v>1</v>
      </c>
      <c r="I34" s="7">
        <v>1</v>
      </c>
      <c r="J34" s="7">
        <v>1</v>
      </c>
      <c r="K34" s="8" t="s">
        <v>132</v>
      </c>
    </row>
    <row r="35" spans="1:11" x14ac:dyDescent="0.2">
      <c r="A35" s="7">
        <v>34</v>
      </c>
      <c r="B35" s="8" t="s">
        <v>140</v>
      </c>
      <c r="C35" s="7" t="s">
        <v>87</v>
      </c>
      <c r="D35" s="7" t="s">
        <v>66</v>
      </c>
      <c r="E35" s="7" t="s">
        <v>87</v>
      </c>
      <c r="F35" s="7" t="s">
        <v>49</v>
      </c>
      <c r="G35" s="10" t="s">
        <v>76</v>
      </c>
      <c r="H35" s="7">
        <f>COUNTIF(Atomic_Claims!J:J,A35)</f>
        <v>1</v>
      </c>
      <c r="I35" s="7">
        <v>1</v>
      </c>
      <c r="J35" s="7">
        <v>1</v>
      </c>
      <c r="K35" s="8" t="s">
        <v>141</v>
      </c>
    </row>
    <row r="36" spans="1:11" x14ac:dyDescent="0.2">
      <c r="A36" s="7">
        <v>35</v>
      </c>
      <c r="B36" s="8" t="s">
        <v>142</v>
      </c>
      <c r="C36" s="7" t="s">
        <v>143</v>
      </c>
      <c r="D36" s="7" t="s">
        <v>84</v>
      </c>
      <c r="E36" s="7" t="s">
        <v>143</v>
      </c>
      <c r="F36" s="7" t="s">
        <v>49</v>
      </c>
      <c r="G36" s="10" t="s">
        <v>76</v>
      </c>
      <c r="H36" s="7">
        <f>COUNTIF(Atomic_Claims!J:J,A36)</f>
        <v>1</v>
      </c>
      <c r="I36" s="7">
        <v>1</v>
      </c>
      <c r="J36" s="7">
        <v>1</v>
      </c>
      <c r="K36" s="8" t="s">
        <v>141</v>
      </c>
    </row>
    <row r="37" spans="1:11" x14ac:dyDescent="0.2">
      <c r="A37" s="7">
        <v>36</v>
      </c>
      <c r="B37" s="8" t="s">
        <v>144</v>
      </c>
      <c r="C37" s="7" t="s">
        <v>145</v>
      </c>
      <c r="D37" s="7" t="s">
        <v>47</v>
      </c>
      <c r="E37" s="7" t="s">
        <v>72</v>
      </c>
      <c r="F37" s="7" t="s">
        <v>49</v>
      </c>
      <c r="G37" s="9" t="s">
        <v>50</v>
      </c>
      <c r="H37" s="7">
        <f>COUNTIF(Atomic_Claims!J:J,A37)</f>
        <v>1</v>
      </c>
      <c r="I37" s="7">
        <v>1</v>
      </c>
      <c r="J37" s="7">
        <v>1</v>
      </c>
      <c r="K37" s="8" t="s">
        <v>141</v>
      </c>
    </row>
    <row r="38" spans="1:11" x14ac:dyDescent="0.2">
      <c r="A38" s="7">
        <v>37</v>
      </c>
      <c r="B38" s="8" t="s">
        <v>146</v>
      </c>
      <c r="C38" s="7" t="s">
        <v>147</v>
      </c>
      <c r="D38" s="7" t="s">
        <v>47</v>
      </c>
      <c r="E38" s="7" t="s">
        <v>148</v>
      </c>
      <c r="F38" s="7" t="s">
        <v>49</v>
      </c>
      <c r="G38" s="9" t="s">
        <v>50</v>
      </c>
      <c r="H38" s="7">
        <f>COUNTIF(Atomic_Claims!J:J,A38)</f>
        <v>1</v>
      </c>
      <c r="I38" s="7">
        <v>1</v>
      </c>
      <c r="J38" s="7">
        <v>1</v>
      </c>
      <c r="K38" s="8" t="s">
        <v>141</v>
      </c>
    </row>
    <row r="39" spans="1:11" x14ac:dyDescent="0.2">
      <c r="A39" s="7">
        <v>38</v>
      </c>
      <c r="B39" s="8" t="s">
        <v>149</v>
      </c>
      <c r="C39" s="7" t="s">
        <v>150</v>
      </c>
      <c r="D39" s="7" t="s">
        <v>47</v>
      </c>
      <c r="E39" s="7" t="s">
        <v>151</v>
      </c>
      <c r="F39" s="7" t="s">
        <v>49</v>
      </c>
      <c r="G39" s="9" t="s">
        <v>50</v>
      </c>
      <c r="H39" s="7">
        <f>COUNTIF(Atomic_Claims!J:J,A39)</f>
        <v>1</v>
      </c>
      <c r="I39" s="7">
        <v>3</v>
      </c>
      <c r="J39" s="7">
        <v>1</v>
      </c>
      <c r="K39" s="8" t="s">
        <v>152</v>
      </c>
    </row>
    <row r="40" spans="1:11" x14ac:dyDescent="0.2">
      <c r="A40" s="7">
        <v>39</v>
      </c>
      <c r="B40" s="8" t="s">
        <v>153</v>
      </c>
      <c r="C40" s="7" t="s">
        <v>154</v>
      </c>
      <c r="D40" s="7" t="s">
        <v>119</v>
      </c>
      <c r="E40" s="7" t="s">
        <v>119</v>
      </c>
      <c r="F40" s="7" t="s">
        <v>49</v>
      </c>
      <c r="G40" s="10" t="s">
        <v>76</v>
      </c>
      <c r="H40" s="7">
        <f>COUNTIF(Atomic_Claims!J:J,A40)</f>
        <v>1</v>
      </c>
      <c r="I40" s="7">
        <v>3</v>
      </c>
      <c r="J40" s="7">
        <v>1</v>
      </c>
      <c r="K40" s="8" t="s">
        <v>152</v>
      </c>
    </row>
    <row r="41" spans="1:11" x14ac:dyDescent="0.2">
      <c r="A41" s="7">
        <v>40</v>
      </c>
      <c r="B41" s="8" t="s">
        <v>155</v>
      </c>
      <c r="C41" s="7" t="s">
        <v>156</v>
      </c>
      <c r="D41" s="7" t="s">
        <v>66</v>
      </c>
      <c r="E41" s="7" t="s">
        <v>156</v>
      </c>
      <c r="F41" s="7" t="s">
        <v>49</v>
      </c>
      <c r="G41" s="10" t="s">
        <v>76</v>
      </c>
      <c r="H41" s="7">
        <f>COUNTIF(Atomic_Claims!J:J,A41)</f>
        <v>1</v>
      </c>
      <c r="I41" s="7">
        <v>1</v>
      </c>
      <c r="J41" s="7">
        <v>1</v>
      </c>
      <c r="K41" s="8" t="s">
        <v>152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0"/>
  <sheetViews>
    <sheetView zoomScaleNormal="100" workbookViewId="0">
      <pane ySplit="1" topLeftCell="A2" activePane="bottomLeft" state="frozen"/>
      <selection pane="bottomLeft" activeCell="M2" sqref="M2"/>
    </sheetView>
  </sheetViews>
  <sheetFormatPr baseColWidth="10" defaultColWidth="8.6640625" defaultRowHeight="15" x14ac:dyDescent="0.2"/>
  <cols>
    <col min="1" max="1" width="9" customWidth="1"/>
    <col min="2" max="3" width="14" customWidth="1"/>
    <col min="4" max="4" width="16" customWidth="1"/>
    <col min="5" max="5" width="7" customWidth="1"/>
    <col min="6" max="6" width="44" customWidth="1"/>
    <col min="7" max="7" width="26" customWidth="1"/>
    <col min="8" max="8" width="12" customWidth="1"/>
    <col min="9" max="9" width="40" customWidth="1"/>
    <col min="10" max="10" width="16" customWidth="1"/>
    <col min="11" max="11" width="40" customWidth="1"/>
    <col min="12" max="12" width="14" customWidth="1"/>
    <col min="13" max="13" width="12" customWidth="1"/>
  </cols>
  <sheetData>
    <row r="1" spans="1:13" ht="30" customHeight="1" x14ac:dyDescent="0.2">
      <c r="A1" s="6" t="s">
        <v>157</v>
      </c>
      <c r="B1" s="6" t="s">
        <v>158</v>
      </c>
      <c r="C1" s="6" t="s">
        <v>159</v>
      </c>
      <c r="D1" s="6" t="s">
        <v>160</v>
      </c>
      <c r="E1" s="6" t="s">
        <v>161</v>
      </c>
      <c r="F1" s="6" t="s">
        <v>162</v>
      </c>
      <c r="G1" s="6" t="s">
        <v>36</v>
      </c>
      <c r="H1" s="6" t="s">
        <v>37</v>
      </c>
      <c r="I1" s="6" t="s">
        <v>163</v>
      </c>
      <c r="J1" s="6" t="s">
        <v>34</v>
      </c>
      <c r="K1" s="6" t="s">
        <v>35</v>
      </c>
      <c r="L1" s="6" t="s">
        <v>39</v>
      </c>
      <c r="M1" s="6" t="s">
        <v>40</v>
      </c>
    </row>
    <row r="2" spans="1:13" ht="28" x14ac:dyDescent="0.2">
      <c r="A2" s="7" t="s">
        <v>164</v>
      </c>
      <c r="B2" s="7">
        <v>1</v>
      </c>
      <c r="C2" s="7" t="s">
        <v>165</v>
      </c>
      <c r="D2" s="7" t="s">
        <v>51</v>
      </c>
      <c r="E2" s="7">
        <v>2</v>
      </c>
      <c r="F2" s="12" t="s">
        <v>166</v>
      </c>
      <c r="G2" s="7" t="s">
        <v>46</v>
      </c>
      <c r="H2" s="7" t="s">
        <v>47</v>
      </c>
      <c r="I2" s="8" t="s">
        <v>167</v>
      </c>
      <c r="J2" s="7">
        <v>1</v>
      </c>
      <c r="K2" s="8" t="s">
        <v>45</v>
      </c>
      <c r="L2" s="7" t="s">
        <v>49</v>
      </c>
      <c r="M2" s="9" t="s">
        <v>50</v>
      </c>
    </row>
    <row r="3" spans="1:13" ht="28" x14ac:dyDescent="0.2">
      <c r="A3" s="7" t="s">
        <v>168</v>
      </c>
      <c r="B3" s="7">
        <v>2</v>
      </c>
      <c r="C3" s="7" t="s">
        <v>169</v>
      </c>
      <c r="D3" s="7" t="s">
        <v>51</v>
      </c>
      <c r="E3" s="7">
        <v>2</v>
      </c>
      <c r="F3" s="8" t="s">
        <v>170</v>
      </c>
      <c r="G3" s="7" t="s">
        <v>53</v>
      </c>
      <c r="H3" s="7" t="s">
        <v>47</v>
      </c>
      <c r="I3" s="8" t="s">
        <v>171</v>
      </c>
      <c r="J3" s="7">
        <v>2</v>
      </c>
      <c r="K3" s="8" t="s">
        <v>52</v>
      </c>
      <c r="L3" s="7" t="s">
        <v>49</v>
      </c>
      <c r="M3" s="9" t="s">
        <v>50</v>
      </c>
    </row>
    <row r="4" spans="1:13" ht="28" x14ac:dyDescent="0.2">
      <c r="A4" s="7" t="s">
        <v>172</v>
      </c>
      <c r="B4" s="7">
        <v>3</v>
      </c>
      <c r="C4" s="7" t="s">
        <v>173</v>
      </c>
      <c r="D4" s="7" t="s">
        <v>51</v>
      </c>
      <c r="E4" s="7">
        <v>2</v>
      </c>
      <c r="F4" s="8" t="s">
        <v>174</v>
      </c>
      <c r="G4" s="7" t="s">
        <v>57</v>
      </c>
      <c r="H4" s="7" t="s">
        <v>58</v>
      </c>
      <c r="I4" s="8" t="s">
        <v>175</v>
      </c>
      <c r="J4" s="7">
        <v>3</v>
      </c>
      <c r="K4" s="8" t="s">
        <v>56</v>
      </c>
      <c r="L4" s="7" t="s">
        <v>49</v>
      </c>
      <c r="M4" s="9" t="s">
        <v>50</v>
      </c>
    </row>
    <row r="5" spans="1:13" ht="28" x14ac:dyDescent="0.2">
      <c r="A5" s="7" t="s">
        <v>176</v>
      </c>
      <c r="B5" s="7">
        <v>3</v>
      </c>
      <c r="C5" s="7" t="s">
        <v>173</v>
      </c>
      <c r="D5" s="7" t="s">
        <v>51</v>
      </c>
      <c r="E5" s="7">
        <v>2</v>
      </c>
      <c r="F5" s="12" t="s">
        <v>177</v>
      </c>
      <c r="G5" s="7" t="s">
        <v>61</v>
      </c>
      <c r="H5" s="7" t="s">
        <v>62</v>
      </c>
      <c r="I5" s="12" t="s">
        <v>175</v>
      </c>
      <c r="J5" s="7">
        <v>4</v>
      </c>
      <c r="K5" s="12" t="s">
        <v>60</v>
      </c>
      <c r="L5" s="7" t="s">
        <v>49</v>
      </c>
      <c r="M5" s="9" t="s">
        <v>50</v>
      </c>
    </row>
    <row r="6" spans="1:13" ht="28" x14ac:dyDescent="0.2">
      <c r="A6" s="7" t="s">
        <v>178</v>
      </c>
      <c r="B6" s="7">
        <v>4</v>
      </c>
      <c r="C6" s="7" t="s">
        <v>179</v>
      </c>
      <c r="D6" s="7" t="s">
        <v>51</v>
      </c>
      <c r="E6" s="7">
        <v>2</v>
      </c>
      <c r="F6" s="8" t="s">
        <v>180</v>
      </c>
      <c r="G6" s="7" t="s">
        <v>65</v>
      </c>
      <c r="H6" s="7" t="s">
        <v>66</v>
      </c>
      <c r="I6" s="8" t="s">
        <v>181</v>
      </c>
      <c r="J6" s="7">
        <v>5</v>
      </c>
      <c r="K6" s="8" t="s">
        <v>64</v>
      </c>
      <c r="L6" s="7" t="s">
        <v>49</v>
      </c>
      <c r="M6" s="9" t="s">
        <v>50</v>
      </c>
    </row>
    <row r="7" spans="1:13" ht="28" x14ac:dyDescent="0.2">
      <c r="A7" s="7" t="s">
        <v>182</v>
      </c>
      <c r="B7" s="7">
        <v>4</v>
      </c>
      <c r="C7" s="7" t="s">
        <v>179</v>
      </c>
      <c r="D7" s="7" t="s">
        <v>51</v>
      </c>
      <c r="E7" s="7">
        <v>2</v>
      </c>
      <c r="F7" s="8" t="s">
        <v>183</v>
      </c>
      <c r="G7" s="7" t="s">
        <v>69</v>
      </c>
      <c r="H7" s="7" t="s">
        <v>66</v>
      </c>
      <c r="I7" s="8" t="s">
        <v>181</v>
      </c>
      <c r="J7" s="7">
        <v>6</v>
      </c>
      <c r="K7" s="8" t="s">
        <v>68</v>
      </c>
      <c r="L7" s="7" t="s">
        <v>49</v>
      </c>
      <c r="M7" s="9" t="s">
        <v>50</v>
      </c>
    </row>
    <row r="8" spans="1:13" ht="28" x14ac:dyDescent="0.2">
      <c r="A8" s="7" t="s">
        <v>184</v>
      </c>
      <c r="B8" s="7">
        <v>5</v>
      </c>
      <c r="C8" s="7" t="s">
        <v>185</v>
      </c>
      <c r="D8" s="7" t="s">
        <v>51</v>
      </c>
      <c r="E8" s="7">
        <v>2</v>
      </c>
      <c r="F8" s="8" t="s">
        <v>186</v>
      </c>
      <c r="G8" s="7" t="s">
        <v>71</v>
      </c>
      <c r="H8" s="7" t="s">
        <v>47</v>
      </c>
      <c r="I8" s="8" t="s">
        <v>187</v>
      </c>
      <c r="J8" s="7">
        <v>7</v>
      </c>
      <c r="K8" s="8" t="s">
        <v>70</v>
      </c>
      <c r="L8" s="7" t="s">
        <v>49</v>
      </c>
      <c r="M8" s="9" t="s">
        <v>50</v>
      </c>
    </row>
    <row r="9" spans="1:13" ht="28" x14ac:dyDescent="0.2">
      <c r="A9" s="7" t="s">
        <v>188</v>
      </c>
      <c r="B9" s="7">
        <v>6</v>
      </c>
      <c r="C9" s="7" t="s">
        <v>189</v>
      </c>
      <c r="D9" s="7" t="s">
        <v>51</v>
      </c>
      <c r="E9" s="7">
        <v>2</v>
      </c>
      <c r="F9" s="8" t="s">
        <v>190</v>
      </c>
      <c r="G9" s="7" t="s">
        <v>74</v>
      </c>
      <c r="H9" s="7" t="s">
        <v>62</v>
      </c>
      <c r="I9" s="8" t="s">
        <v>191</v>
      </c>
      <c r="J9" s="7">
        <v>8</v>
      </c>
      <c r="K9" s="8" t="s">
        <v>73</v>
      </c>
      <c r="L9" s="7" t="s">
        <v>49</v>
      </c>
      <c r="M9" s="10" t="s">
        <v>76</v>
      </c>
    </row>
    <row r="10" spans="1:13" ht="28" x14ac:dyDescent="0.2">
      <c r="A10" s="7" t="s">
        <v>192</v>
      </c>
      <c r="B10" s="7">
        <v>7</v>
      </c>
      <c r="C10" s="7" t="s">
        <v>193</v>
      </c>
      <c r="D10" s="7" t="s">
        <v>51</v>
      </c>
      <c r="E10" s="7">
        <v>2</v>
      </c>
      <c r="F10" s="8" t="s">
        <v>194</v>
      </c>
      <c r="G10" s="7" t="s">
        <v>78</v>
      </c>
      <c r="H10" s="7" t="s">
        <v>62</v>
      </c>
      <c r="I10" s="8" t="s">
        <v>195</v>
      </c>
      <c r="J10" s="7">
        <v>9</v>
      </c>
      <c r="K10" s="8" t="s">
        <v>77</v>
      </c>
      <c r="L10" s="7" t="s">
        <v>49</v>
      </c>
      <c r="M10" s="9" t="s">
        <v>50</v>
      </c>
    </row>
    <row r="11" spans="1:13" x14ac:dyDescent="0.2">
      <c r="A11" s="7" t="s">
        <v>196</v>
      </c>
      <c r="B11" s="7">
        <v>8</v>
      </c>
      <c r="C11" s="7" t="s">
        <v>197</v>
      </c>
      <c r="D11" s="7" t="s">
        <v>51</v>
      </c>
      <c r="E11" s="7">
        <v>3</v>
      </c>
      <c r="F11" s="8" t="s">
        <v>198</v>
      </c>
      <c r="G11" s="7" t="s">
        <v>80</v>
      </c>
      <c r="H11" s="7" t="s">
        <v>66</v>
      </c>
      <c r="I11" s="8" t="s">
        <v>199</v>
      </c>
      <c r="J11" s="7">
        <v>10</v>
      </c>
      <c r="K11" s="8" t="s">
        <v>79</v>
      </c>
      <c r="L11" s="7" t="s">
        <v>49</v>
      </c>
      <c r="M11" s="10" t="s">
        <v>76</v>
      </c>
    </row>
    <row r="12" spans="1:13" x14ac:dyDescent="0.2">
      <c r="A12" s="7" t="s">
        <v>200</v>
      </c>
      <c r="B12" s="7">
        <v>9</v>
      </c>
      <c r="C12" s="7" t="s">
        <v>201</v>
      </c>
      <c r="D12" s="7" t="s">
        <v>51</v>
      </c>
      <c r="E12" s="7">
        <v>3</v>
      </c>
      <c r="F12" s="8" t="s">
        <v>202</v>
      </c>
      <c r="G12" s="7" t="s">
        <v>83</v>
      </c>
      <c r="H12" s="7" t="s">
        <v>84</v>
      </c>
      <c r="I12" s="8" t="s">
        <v>203</v>
      </c>
      <c r="J12" s="7">
        <v>11</v>
      </c>
      <c r="K12" s="8" t="s">
        <v>82</v>
      </c>
      <c r="L12" s="7" t="s">
        <v>49</v>
      </c>
      <c r="M12" s="9" t="s">
        <v>50</v>
      </c>
    </row>
    <row r="13" spans="1:13" ht="28" x14ac:dyDescent="0.2">
      <c r="A13" s="7" t="s">
        <v>204</v>
      </c>
      <c r="B13" s="7">
        <v>10</v>
      </c>
      <c r="C13" s="7" t="s">
        <v>205</v>
      </c>
      <c r="D13" s="7" t="s">
        <v>51</v>
      </c>
      <c r="E13" s="7">
        <v>3</v>
      </c>
      <c r="F13" s="8" t="s">
        <v>206</v>
      </c>
      <c r="G13" s="7" t="s">
        <v>69</v>
      </c>
      <c r="H13" s="7" t="s">
        <v>66</v>
      </c>
      <c r="I13" s="8" t="s">
        <v>207</v>
      </c>
      <c r="J13" s="7">
        <v>12</v>
      </c>
      <c r="K13" s="8" t="s">
        <v>85</v>
      </c>
      <c r="L13" s="7" t="s">
        <v>49</v>
      </c>
      <c r="M13" s="10" t="s">
        <v>76</v>
      </c>
    </row>
    <row r="14" spans="1:13" ht="28" x14ac:dyDescent="0.2">
      <c r="A14" s="7" t="s">
        <v>208</v>
      </c>
      <c r="B14" s="7">
        <v>11</v>
      </c>
      <c r="C14" s="7" t="s">
        <v>209</v>
      </c>
      <c r="D14" s="7" t="s">
        <v>51</v>
      </c>
      <c r="E14" s="7">
        <v>3</v>
      </c>
      <c r="F14" s="8" t="s">
        <v>210</v>
      </c>
      <c r="G14" s="7" t="s">
        <v>65</v>
      </c>
      <c r="H14" s="7" t="s">
        <v>66</v>
      </c>
      <c r="I14" s="8" t="s">
        <v>211</v>
      </c>
      <c r="J14" s="7">
        <v>5</v>
      </c>
      <c r="K14" s="8" t="s">
        <v>64</v>
      </c>
      <c r="L14" s="7" t="s">
        <v>49</v>
      </c>
      <c r="M14" s="9" t="s">
        <v>50</v>
      </c>
    </row>
    <row r="15" spans="1:13" ht="28" x14ac:dyDescent="0.2">
      <c r="A15" s="7" t="s">
        <v>212</v>
      </c>
      <c r="B15" s="7">
        <v>12</v>
      </c>
      <c r="C15" s="7" t="s">
        <v>213</v>
      </c>
      <c r="D15" s="7" t="s">
        <v>51</v>
      </c>
      <c r="E15" s="7">
        <v>3</v>
      </c>
      <c r="F15" s="8" t="s">
        <v>214</v>
      </c>
      <c r="G15" s="7" t="s">
        <v>80</v>
      </c>
      <c r="H15" s="7" t="s">
        <v>66</v>
      </c>
      <c r="I15" s="8" t="s">
        <v>215</v>
      </c>
      <c r="J15" s="7">
        <v>10</v>
      </c>
      <c r="K15" s="8" t="s">
        <v>79</v>
      </c>
      <c r="L15" s="7" t="s">
        <v>49</v>
      </c>
      <c r="M15" s="10" t="s">
        <v>76</v>
      </c>
    </row>
    <row r="16" spans="1:13" ht="28" x14ac:dyDescent="0.2">
      <c r="A16" s="7" t="s">
        <v>216</v>
      </c>
      <c r="B16" s="7">
        <v>13</v>
      </c>
      <c r="C16" s="7" t="s">
        <v>217</v>
      </c>
      <c r="D16" s="7" t="s">
        <v>88</v>
      </c>
      <c r="E16" s="7">
        <v>1</v>
      </c>
      <c r="F16" s="8" t="s">
        <v>218</v>
      </c>
      <c r="G16" s="7" t="s">
        <v>87</v>
      </c>
      <c r="H16" s="7" t="s">
        <v>66</v>
      </c>
      <c r="I16" s="8" t="s">
        <v>219</v>
      </c>
      <c r="J16" s="7">
        <v>13</v>
      </c>
      <c r="K16" s="8" t="s">
        <v>86</v>
      </c>
      <c r="L16" s="7" t="s">
        <v>49</v>
      </c>
      <c r="M16" s="9" t="s">
        <v>50</v>
      </c>
    </row>
    <row r="17" spans="1:13" ht="28" x14ac:dyDescent="0.2">
      <c r="A17" s="7" t="s">
        <v>220</v>
      </c>
      <c r="B17" s="7">
        <v>14</v>
      </c>
      <c r="C17" s="7" t="s">
        <v>221</v>
      </c>
      <c r="D17" s="7" t="s">
        <v>88</v>
      </c>
      <c r="E17" s="7">
        <v>1</v>
      </c>
      <c r="F17" s="8" t="s">
        <v>222</v>
      </c>
      <c r="G17" s="7" t="s">
        <v>90</v>
      </c>
      <c r="H17" s="7" t="s">
        <v>62</v>
      </c>
      <c r="I17" s="8" t="s">
        <v>219</v>
      </c>
      <c r="J17" s="7">
        <v>14</v>
      </c>
      <c r="K17" s="8" t="s">
        <v>89</v>
      </c>
      <c r="L17" s="7" t="s">
        <v>49</v>
      </c>
      <c r="M17" s="9" t="s">
        <v>50</v>
      </c>
    </row>
    <row r="18" spans="1:13" ht="28" x14ac:dyDescent="0.2">
      <c r="A18" s="7" t="s">
        <v>223</v>
      </c>
      <c r="B18" s="7">
        <v>15</v>
      </c>
      <c r="C18" s="7" t="s">
        <v>224</v>
      </c>
      <c r="D18" s="7" t="s">
        <v>88</v>
      </c>
      <c r="E18" s="7">
        <v>1</v>
      </c>
      <c r="F18" s="8" t="s">
        <v>225</v>
      </c>
      <c r="G18" s="7" t="s">
        <v>92</v>
      </c>
      <c r="H18" s="7" t="s">
        <v>66</v>
      </c>
      <c r="I18" s="8" t="s">
        <v>226</v>
      </c>
      <c r="J18" s="7">
        <v>15</v>
      </c>
      <c r="K18" s="8" t="s">
        <v>91</v>
      </c>
      <c r="L18" s="7" t="s">
        <v>49</v>
      </c>
      <c r="M18" s="9" t="s">
        <v>50</v>
      </c>
    </row>
    <row r="19" spans="1:13" ht="28" x14ac:dyDescent="0.2">
      <c r="A19" s="7" t="s">
        <v>227</v>
      </c>
      <c r="B19" s="7">
        <v>16</v>
      </c>
      <c r="C19" s="7" t="s">
        <v>228</v>
      </c>
      <c r="D19" s="7" t="s">
        <v>88</v>
      </c>
      <c r="E19" s="7">
        <v>1</v>
      </c>
      <c r="F19" s="8" t="s">
        <v>229</v>
      </c>
      <c r="G19" s="7" t="s">
        <v>94</v>
      </c>
      <c r="H19" s="7" t="s">
        <v>62</v>
      </c>
      <c r="I19" s="8" t="s">
        <v>230</v>
      </c>
      <c r="J19" s="7">
        <v>16</v>
      </c>
      <c r="K19" s="8" t="s">
        <v>93</v>
      </c>
      <c r="L19" s="7" t="s">
        <v>49</v>
      </c>
      <c r="M19" s="9" t="s">
        <v>50</v>
      </c>
    </row>
    <row r="20" spans="1:13" ht="28" x14ac:dyDescent="0.2">
      <c r="A20" s="7" t="s">
        <v>231</v>
      </c>
      <c r="B20" s="7">
        <v>17</v>
      </c>
      <c r="C20" s="7" t="s">
        <v>232</v>
      </c>
      <c r="D20" s="7" t="s">
        <v>88</v>
      </c>
      <c r="E20" s="7">
        <v>1</v>
      </c>
      <c r="F20" s="8" t="s">
        <v>233</v>
      </c>
      <c r="G20" s="7" t="s">
        <v>97</v>
      </c>
      <c r="H20" s="7" t="s">
        <v>62</v>
      </c>
      <c r="I20" s="8" t="s">
        <v>234</v>
      </c>
      <c r="J20" s="7">
        <v>17</v>
      </c>
      <c r="K20" s="8" t="s">
        <v>96</v>
      </c>
      <c r="L20" s="7" t="s">
        <v>49</v>
      </c>
      <c r="M20" s="9" t="s">
        <v>50</v>
      </c>
    </row>
    <row r="21" spans="1:13" ht="28" x14ac:dyDescent="0.2">
      <c r="A21" s="7" t="s">
        <v>235</v>
      </c>
      <c r="B21" s="7">
        <v>18</v>
      </c>
      <c r="C21" s="7" t="s">
        <v>236</v>
      </c>
      <c r="D21" s="7" t="s">
        <v>88</v>
      </c>
      <c r="E21" s="7">
        <v>1</v>
      </c>
      <c r="F21" s="8" t="s">
        <v>237</v>
      </c>
      <c r="G21" s="7" t="s">
        <v>65</v>
      </c>
      <c r="H21" s="7" t="s">
        <v>66</v>
      </c>
      <c r="I21" s="8" t="s">
        <v>238</v>
      </c>
      <c r="J21" s="7">
        <v>5</v>
      </c>
      <c r="K21" s="8" t="s">
        <v>64</v>
      </c>
      <c r="L21" s="7" t="s">
        <v>49</v>
      </c>
      <c r="M21" s="9" t="s">
        <v>50</v>
      </c>
    </row>
    <row r="22" spans="1:13" ht="28" x14ac:dyDescent="0.2">
      <c r="A22" s="7" t="s">
        <v>239</v>
      </c>
      <c r="B22" s="7">
        <v>19</v>
      </c>
      <c r="C22" s="7" t="s">
        <v>240</v>
      </c>
      <c r="D22" s="7" t="s">
        <v>88</v>
      </c>
      <c r="E22" s="7">
        <v>1</v>
      </c>
      <c r="F22" s="8" t="s">
        <v>241</v>
      </c>
      <c r="G22" s="7" t="s">
        <v>100</v>
      </c>
      <c r="H22" s="7" t="s">
        <v>66</v>
      </c>
      <c r="I22" s="8" t="s">
        <v>242</v>
      </c>
      <c r="J22" s="7">
        <v>18</v>
      </c>
      <c r="K22" s="8" t="s">
        <v>99</v>
      </c>
      <c r="L22" s="7" t="s">
        <v>49</v>
      </c>
      <c r="M22" s="9" t="s">
        <v>50</v>
      </c>
    </row>
    <row r="23" spans="1:13" ht="28" x14ac:dyDescent="0.2">
      <c r="A23" s="7" t="s">
        <v>243</v>
      </c>
      <c r="B23" s="7">
        <v>20</v>
      </c>
      <c r="C23" s="7" t="s">
        <v>244</v>
      </c>
      <c r="D23" s="7" t="s">
        <v>88</v>
      </c>
      <c r="E23" s="7">
        <v>1</v>
      </c>
      <c r="F23" s="8" t="s">
        <v>245</v>
      </c>
      <c r="G23" s="7" t="s">
        <v>83</v>
      </c>
      <c r="H23" s="7" t="s">
        <v>84</v>
      </c>
      <c r="I23" s="8" t="s">
        <v>246</v>
      </c>
      <c r="J23" s="7">
        <v>11</v>
      </c>
      <c r="K23" s="8" t="s">
        <v>82</v>
      </c>
      <c r="L23" s="7" t="s">
        <v>49</v>
      </c>
      <c r="M23" s="9" t="s">
        <v>50</v>
      </c>
    </row>
    <row r="24" spans="1:13" ht="28" x14ac:dyDescent="0.2">
      <c r="A24" s="7" t="s">
        <v>247</v>
      </c>
      <c r="B24" s="7">
        <v>21</v>
      </c>
      <c r="C24" s="7" t="s">
        <v>248</v>
      </c>
      <c r="D24" s="7" t="s">
        <v>88</v>
      </c>
      <c r="E24" s="7">
        <v>1</v>
      </c>
      <c r="F24" s="8" t="s">
        <v>249</v>
      </c>
      <c r="G24" s="7" t="s">
        <v>103</v>
      </c>
      <c r="H24" s="7" t="s">
        <v>62</v>
      </c>
      <c r="I24" s="8" t="s">
        <v>250</v>
      </c>
      <c r="J24" s="7">
        <v>19</v>
      </c>
      <c r="K24" s="8" t="s">
        <v>102</v>
      </c>
      <c r="L24" s="7" t="s">
        <v>49</v>
      </c>
      <c r="M24" s="9" t="s">
        <v>50</v>
      </c>
    </row>
    <row r="25" spans="1:13" ht="28" x14ac:dyDescent="0.2">
      <c r="A25" s="7" t="s">
        <v>251</v>
      </c>
      <c r="B25" s="7">
        <v>22</v>
      </c>
      <c r="C25" s="7" t="s">
        <v>252</v>
      </c>
      <c r="D25" s="7" t="s">
        <v>88</v>
      </c>
      <c r="E25" s="7">
        <v>1</v>
      </c>
      <c r="F25" s="8" t="s">
        <v>253</v>
      </c>
      <c r="G25" s="7" t="s">
        <v>105</v>
      </c>
      <c r="H25" s="7" t="s">
        <v>106</v>
      </c>
      <c r="I25" s="8" t="s">
        <v>254</v>
      </c>
      <c r="J25" s="7">
        <v>20</v>
      </c>
      <c r="K25" s="8" t="s">
        <v>104</v>
      </c>
      <c r="L25" s="7" t="s">
        <v>49</v>
      </c>
      <c r="M25" s="9" t="s">
        <v>50</v>
      </c>
    </row>
    <row r="26" spans="1:13" ht="28" x14ac:dyDescent="0.2">
      <c r="A26" s="7" t="s">
        <v>255</v>
      </c>
      <c r="B26" s="7">
        <v>23</v>
      </c>
      <c r="C26" s="7" t="s">
        <v>256</v>
      </c>
      <c r="D26" s="7" t="s">
        <v>88</v>
      </c>
      <c r="E26" s="7">
        <v>1</v>
      </c>
      <c r="F26" s="8" t="s">
        <v>257</v>
      </c>
      <c r="G26" s="7" t="s">
        <v>108</v>
      </c>
      <c r="H26" s="7" t="s">
        <v>62</v>
      </c>
      <c r="I26" s="8" t="s">
        <v>258</v>
      </c>
      <c r="J26" s="7">
        <v>21</v>
      </c>
      <c r="K26" s="8" t="s">
        <v>107</v>
      </c>
      <c r="L26" s="7" t="s">
        <v>49</v>
      </c>
      <c r="M26" s="9" t="s">
        <v>50</v>
      </c>
    </row>
    <row r="27" spans="1:13" ht="28" x14ac:dyDescent="0.2">
      <c r="A27" s="7" t="s">
        <v>259</v>
      </c>
      <c r="B27" s="7">
        <v>24</v>
      </c>
      <c r="C27" s="7" t="s">
        <v>260</v>
      </c>
      <c r="D27" s="7" t="s">
        <v>88</v>
      </c>
      <c r="E27" s="7">
        <v>1</v>
      </c>
      <c r="F27" s="8" t="s">
        <v>261</v>
      </c>
      <c r="G27" s="7" t="s">
        <v>63</v>
      </c>
      <c r="H27" s="7" t="s">
        <v>66</v>
      </c>
      <c r="I27" s="8" t="s">
        <v>219</v>
      </c>
      <c r="J27" s="7">
        <v>22</v>
      </c>
      <c r="K27" s="8" t="s">
        <v>109</v>
      </c>
      <c r="L27" s="7" t="s">
        <v>49</v>
      </c>
      <c r="M27" s="9" t="s">
        <v>50</v>
      </c>
    </row>
    <row r="28" spans="1:13" ht="28" x14ac:dyDescent="0.2">
      <c r="A28" s="7" t="s">
        <v>262</v>
      </c>
      <c r="B28" s="7">
        <v>25</v>
      </c>
      <c r="C28" s="7" t="s">
        <v>263</v>
      </c>
      <c r="D28" s="7" t="s">
        <v>88</v>
      </c>
      <c r="E28" s="7">
        <v>1</v>
      </c>
      <c r="F28" s="8" t="s">
        <v>264</v>
      </c>
      <c r="G28" s="7" t="s">
        <v>112</v>
      </c>
      <c r="H28" s="7" t="s">
        <v>106</v>
      </c>
      <c r="I28" s="8" t="s">
        <v>265</v>
      </c>
      <c r="J28" s="7">
        <v>23</v>
      </c>
      <c r="K28" s="8" t="s">
        <v>111</v>
      </c>
      <c r="L28" s="7" t="s">
        <v>49</v>
      </c>
      <c r="M28" s="9" t="s">
        <v>50</v>
      </c>
    </row>
    <row r="29" spans="1:13" ht="28" x14ac:dyDescent="0.2">
      <c r="A29" s="7" t="s">
        <v>266</v>
      </c>
      <c r="B29" s="7">
        <v>26</v>
      </c>
      <c r="C29" s="7" t="s">
        <v>267</v>
      </c>
      <c r="D29" s="7" t="s">
        <v>88</v>
      </c>
      <c r="E29" s="7">
        <v>1</v>
      </c>
      <c r="F29" s="8" t="s">
        <v>268</v>
      </c>
      <c r="G29" s="7" t="s">
        <v>69</v>
      </c>
      <c r="H29" s="7" t="s">
        <v>66</v>
      </c>
      <c r="I29" s="8" t="s">
        <v>269</v>
      </c>
      <c r="J29" s="7">
        <v>6</v>
      </c>
      <c r="K29" s="8" t="s">
        <v>68</v>
      </c>
      <c r="L29" s="7" t="s">
        <v>49</v>
      </c>
      <c r="M29" s="9" t="s">
        <v>50</v>
      </c>
    </row>
    <row r="30" spans="1:13" ht="28" x14ac:dyDescent="0.2">
      <c r="A30" s="7" t="s">
        <v>270</v>
      </c>
      <c r="B30" s="7">
        <v>27</v>
      </c>
      <c r="C30" s="7" t="s">
        <v>271</v>
      </c>
      <c r="D30" s="7" t="s">
        <v>88</v>
      </c>
      <c r="E30" s="7">
        <v>1</v>
      </c>
      <c r="F30" s="8" t="s">
        <v>272</v>
      </c>
      <c r="G30" s="7" t="s">
        <v>114</v>
      </c>
      <c r="H30" s="7" t="s">
        <v>106</v>
      </c>
      <c r="I30" s="8" t="s">
        <v>219</v>
      </c>
      <c r="J30" s="7">
        <v>24</v>
      </c>
      <c r="K30" s="8" t="s">
        <v>113</v>
      </c>
      <c r="L30" s="7" t="s">
        <v>49</v>
      </c>
      <c r="M30" s="9" t="s">
        <v>50</v>
      </c>
    </row>
    <row r="31" spans="1:13" x14ac:dyDescent="0.2">
      <c r="A31" s="7" t="s">
        <v>273</v>
      </c>
      <c r="B31" s="7">
        <v>28</v>
      </c>
      <c r="C31" s="7" t="s">
        <v>274</v>
      </c>
      <c r="D31" s="7" t="s">
        <v>88</v>
      </c>
      <c r="E31" s="7">
        <v>1</v>
      </c>
      <c r="F31" s="8" t="s">
        <v>275</v>
      </c>
      <c r="G31" s="7" t="s">
        <v>116</v>
      </c>
      <c r="H31" s="7" t="s">
        <v>66</v>
      </c>
      <c r="I31" s="8" t="s">
        <v>276</v>
      </c>
      <c r="J31" s="7">
        <v>25</v>
      </c>
      <c r="K31" s="8" t="s">
        <v>115</v>
      </c>
      <c r="L31" s="7" t="s">
        <v>49</v>
      </c>
      <c r="M31" s="9" t="s">
        <v>50</v>
      </c>
    </row>
    <row r="32" spans="1:13" ht="28" x14ac:dyDescent="0.2">
      <c r="A32" s="7" t="s">
        <v>277</v>
      </c>
      <c r="B32" s="7">
        <v>29</v>
      </c>
      <c r="C32" s="7" t="s">
        <v>278</v>
      </c>
      <c r="D32" s="7" t="s">
        <v>88</v>
      </c>
      <c r="E32" s="7">
        <v>1</v>
      </c>
      <c r="F32" s="8" t="s">
        <v>279</v>
      </c>
      <c r="G32" s="7" t="s">
        <v>118</v>
      </c>
      <c r="H32" s="7" t="s">
        <v>119</v>
      </c>
      <c r="I32" s="8" t="s">
        <v>280</v>
      </c>
      <c r="J32" s="7">
        <v>26</v>
      </c>
      <c r="K32" s="8" t="s">
        <v>117</v>
      </c>
      <c r="L32" s="7" t="s">
        <v>49</v>
      </c>
      <c r="M32" s="9" t="s">
        <v>50</v>
      </c>
    </row>
    <row r="33" spans="1:13" ht="28" x14ac:dyDescent="0.2">
      <c r="A33" s="7" t="s">
        <v>281</v>
      </c>
      <c r="B33" s="7">
        <v>30</v>
      </c>
      <c r="C33" s="7" t="s">
        <v>282</v>
      </c>
      <c r="D33" s="7" t="s">
        <v>88</v>
      </c>
      <c r="E33" s="7">
        <v>1</v>
      </c>
      <c r="F33" s="8" t="s">
        <v>283</v>
      </c>
      <c r="G33" s="7" t="s">
        <v>122</v>
      </c>
      <c r="H33" s="7" t="s">
        <v>119</v>
      </c>
      <c r="I33" s="8" t="s">
        <v>284</v>
      </c>
      <c r="J33" s="7">
        <v>27</v>
      </c>
      <c r="K33" s="8" t="s">
        <v>121</v>
      </c>
      <c r="L33" s="7" t="s">
        <v>49</v>
      </c>
      <c r="M33" s="9" t="s">
        <v>50</v>
      </c>
    </row>
    <row r="34" spans="1:13" ht="28" x14ac:dyDescent="0.2">
      <c r="A34" s="7" t="s">
        <v>285</v>
      </c>
      <c r="B34" s="7">
        <v>31</v>
      </c>
      <c r="C34" s="7" t="s">
        <v>286</v>
      </c>
      <c r="D34" s="7" t="s">
        <v>88</v>
      </c>
      <c r="E34" s="7">
        <v>1</v>
      </c>
      <c r="F34" s="8" t="s">
        <v>287</v>
      </c>
      <c r="G34" s="7" t="s">
        <v>124</v>
      </c>
      <c r="H34" s="7" t="s">
        <v>119</v>
      </c>
      <c r="I34" s="8" t="s">
        <v>284</v>
      </c>
      <c r="J34" s="7">
        <v>28</v>
      </c>
      <c r="K34" s="8" t="s">
        <v>123</v>
      </c>
      <c r="L34" s="7" t="s">
        <v>49</v>
      </c>
      <c r="M34" s="9" t="s">
        <v>50</v>
      </c>
    </row>
    <row r="35" spans="1:13" ht="28" x14ac:dyDescent="0.2">
      <c r="A35" s="7" t="s">
        <v>288</v>
      </c>
      <c r="B35" s="7">
        <v>32</v>
      </c>
      <c r="C35" s="7" t="s">
        <v>289</v>
      </c>
      <c r="D35" s="7" t="s">
        <v>132</v>
      </c>
      <c r="E35" s="7">
        <v>1</v>
      </c>
      <c r="F35" s="8" t="s">
        <v>290</v>
      </c>
      <c r="G35" s="7" t="s">
        <v>126</v>
      </c>
      <c r="H35" s="7" t="s">
        <v>119</v>
      </c>
      <c r="I35" s="8" t="s">
        <v>291</v>
      </c>
      <c r="J35" s="7">
        <v>29</v>
      </c>
      <c r="K35" s="8" t="s">
        <v>125</v>
      </c>
      <c r="L35" s="7" t="s">
        <v>49</v>
      </c>
      <c r="M35" s="9" t="s">
        <v>50</v>
      </c>
    </row>
    <row r="36" spans="1:13" ht="28" x14ac:dyDescent="0.2">
      <c r="A36" s="7" t="s">
        <v>292</v>
      </c>
      <c r="B36" s="7">
        <v>33</v>
      </c>
      <c r="C36" s="7" t="s">
        <v>293</v>
      </c>
      <c r="D36" s="7" t="s">
        <v>132</v>
      </c>
      <c r="E36" s="7">
        <v>1</v>
      </c>
      <c r="F36" s="8" t="s">
        <v>294</v>
      </c>
      <c r="G36" s="7" t="s">
        <v>130</v>
      </c>
      <c r="H36" s="7" t="s">
        <v>119</v>
      </c>
      <c r="I36" s="8" t="s">
        <v>295</v>
      </c>
      <c r="J36" s="7">
        <v>30</v>
      </c>
      <c r="K36" s="8" t="s">
        <v>129</v>
      </c>
      <c r="L36" s="7" t="s">
        <v>49</v>
      </c>
      <c r="M36" s="11" t="s">
        <v>131</v>
      </c>
    </row>
    <row r="37" spans="1:13" ht="28" x14ac:dyDescent="0.2">
      <c r="A37" s="7" t="s">
        <v>296</v>
      </c>
      <c r="B37" s="7">
        <v>34</v>
      </c>
      <c r="C37" s="7" t="s">
        <v>297</v>
      </c>
      <c r="D37" s="7" t="s">
        <v>132</v>
      </c>
      <c r="E37" s="7">
        <v>2</v>
      </c>
      <c r="F37" s="8" t="s">
        <v>298</v>
      </c>
      <c r="G37" s="7" t="s">
        <v>126</v>
      </c>
      <c r="H37" s="7" t="s">
        <v>119</v>
      </c>
      <c r="I37" s="8" t="s">
        <v>291</v>
      </c>
      <c r="J37" s="7">
        <v>29</v>
      </c>
      <c r="K37" s="8" t="s">
        <v>125</v>
      </c>
      <c r="L37" s="7" t="s">
        <v>49</v>
      </c>
      <c r="M37" s="9" t="s">
        <v>50</v>
      </c>
    </row>
    <row r="38" spans="1:13" ht="28" x14ac:dyDescent="0.2">
      <c r="A38" s="7" t="s">
        <v>299</v>
      </c>
      <c r="B38" s="7">
        <v>35</v>
      </c>
      <c r="C38" s="7" t="s">
        <v>300</v>
      </c>
      <c r="D38" s="7" t="s">
        <v>132</v>
      </c>
      <c r="E38" s="7">
        <v>2</v>
      </c>
      <c r="F38" s="8" t="s">
        <v>301</v>
      </c>
      <c r="G38" s="7" t="s">
        <v>126</v>
      </c>
      <c r="H38" s="7" t="s">
        <v>119</v>
      </c>
      <c r="I38" s="8" t="s">
        <v>302</v>
      </c>
      <c r="J38" s="7">
        <v>29</v>
      </c>
      <c r="K38" s="8" t="s">
        <v>125</v>
      </c>
      <c r="L38" s="7" t="s">
        <v>49</v>
      </c>
      <c r="M38" s="9" t="s">
        <v>50</v>
      </c>
    </row>
    <row r="39" spans="1:13" x14ac:dyDescent="0.2">
      <c r="A39" s="7" t="s">
        <v>303</v>
      </c>
      <c r="B39" s="7">
        <v>36</v>
      </c>
      <c r="C39" s="7" t="s">
        <v>304</v>
      </c>
      <c r="D39" s="7" t="s">
        <v>132</v>
      </c>
      <c r="E39" s="7">
        <v>2</v>
      </c>
      <c r="F39" s="8" t="s">
        <v>305</v>
      </c>
      <c r="G39" s="7" t="s">
        <v>126</v>
      </c>
      <c r="H39" s="7" t="s">
        <v>119</v>
      </c>
      <c r="I39" s="8" t="s">
        <v>306</v>
      </c>
      <c r="J39" s="7">
        <v>29</v>
      </c>
      <c r="K39" s="8" t="s">
        <v>125</v>
      </c>
      <c r="L39" s="7" t="s">
        <v>49</v>
      </c>
      <c r="M39" s="9" t="s">
        <v>50</v>
      </c>
    </row>
    <row r="40" spans="1:13" ht="28" x14ac:dyDescent="0.2">
      <c r="A40" s="7" t="s">
        <v>307</v>
      </c>
      <c r="B40" s="7">
        <v>37</v>
      </c>
      <c r="C40" s="7" t="s">
        <v>308</v>
      </c>
      <c r="D40" s="7" t="s">
        <v>132</v>
      </c>
      <c r="E40" s="7">
        <v>2</v>
      </c>
      <c r="F40" s="8" t="s">
        <v>309</v>
      </c>
      <c r="G40" s="7" t="s">
        <v>126</v>
      </c>
      <c r="H40" s="7" t="s">
        <v>119</v>
      </c>
      <c r="I40" s="8" t="s">
        <v>310</v>
      </c>
      <c r="J40" s="7">
        <v>29</v>
      </c>
      <c r="K40" s="8" t="s">
        <v>125</v>
      </c>
      <c r="L40" s="7" t="s">
        <v>49</v>
      </c>
      <c r="M40" s="9" t="s">
        <v>50</v>
      </c>
    </row>
    <row r="41" spans="1:13" ht="28" x14ac:dyDescent="0.2">
      <c r="A41" s="7" t="s">
        <v>311</v>
      </c>
      <c r="B41" s="7">
        <v>38</v>
      </c>
      <c r="C41" s="7" t="s">
        <v>312</v>
      </c>
      <c r="D41" s="7" t="s">
        <v>132</v>
      </c>
      <c r="E41" s="7">
        <v>2</v>
      </c>
      <c r="F41" s="8" t="s">
        <v>313</v>
      </c>
      <c r="G41" s="7" t="s">
        <v>126</v>
      </c>
      <c r="H41" s="7" t="s">
        <v>119</v>
      </c>
      <c r="I41" s="8" t="s">
        <v>310</v>
      </c>
      <c r="J41" s="7">
        <v>29</v>
      </c>
      <c r="K41" s="8" t="s">
        <v>125</v>
      </c>
      <c r="L41" s="7" t="s">
        <v>49</v>
      </c>
      <c r="M41" s="9" t="s">
        <v>50</v>
      </c>
    </row>
    <row r="42" spans="1:13" ht="28" x14ac:dyDescent="0.2">
      <c r="A42" s="7" t="s">
        <v>314</v>
      </c>
      <c r="B42" s="7">
        <v>39</v>
      </c>
      <c r="C42" s="7" t="s">
        <v>315</v>
      </c>
      <c r="D42" s="7" t="s">
        <v>132</v>
      </c>
      <c r="E42" s="7">
        <v>2</v>
      </c>
      <c r="F42" s="8" t="s">
        <v>316</v>
      </c>
      <c r="G42" s="7" t="s">
        <v>126</v>
      </c>
      <c r="H42" s="7" t="s">
        <v>119</v>
      </c>
      <c r="I42" s="8" t="s">
        <v>317</v>
      </c>
      <c r="J42" s="7">
        <v>29</v>
      </c>
      <c r="K42" s="8" t="s">
        <v>125</v>
      </c>
      <c r="L42" s="7" t="s">
        <v>49</v>
      </c>
      <c r="M42" s="9" t="s">
        <v>50</v>
      </c>
    </row>
    <row r="43" spans="1:13" ht="28" x14ac:dyDescent="0.2">
      <c r="A43" s="7" t="s">
        <v>318</v>
      </c>
      <c r="B43" s="7">
        <v>40</v>
      </c>
      <c r="C43" s="7" t="s">
        <v>319</v>
      </c>
      <c r="D43" s="7" t="s">
        <v>132</v>
      </c>
      <c r="E43" s="7">
        <v>3</v>
      </c>
      <c r="F43" s="8" t="s">
        <v>320</v>
      </c>
      <c r="G43" s="7" t="s">
        <v>100</v>
      </c>
      <c r="H43" s="7" t="s">
        <v>66</v>
      </c>
      <c r="I43" s="8" t="s">
        <v>321</v>
      </c>
      <c r="J43" s="7">
        <v>18</v>
      </c>
      <c r="K43" s="8" t="s">
        <v>99</v>
      </c>
      <c r="L43" s="7" t="s">
        <v>49</v>
      </c>
      <c r="M43" s="9" t="s">
        <v>50</v>
      </c>
    </row>
    <row r="44" spans="1:13" x14ac:dyDescent="0.2">
      <c r="A44" s="7" t="s">
        <v>322</v>
      </c>
      <c r="B44" s="7">
        <v>41</v>
      </c>
      <c r="C44" s="7" t="s">
        <v>323</v>
      </c>
      <c r="D44" s="7" t="s">
        <v>132</v>
      </c>
      <c r="E44" s="7">
        <v>3</v>
      </c>
      <c r="F44" s="8" t="s">
        <v>324</v>
      </c>
      <c r="G44" s="7" t="s">
        <v>100</v>
      </c>
      <c r="H44" s="7" t="s">
        <v>66</v>
      </c>
      <c r="I44" s="8" t="s">
        <v>325</v>
      </c>
      <c r="J44" s="7">
        <v>18</v>
      </c>
      <c r="K44" s="8" t="s">
        <v>99</v>
      </c>
      <c r="L44" s="7" t="s">
        <v>49</v>
      </c>
      <c r="M44" s="9" t="s">
        <v>50</v>
      </c>
    </row>
    <row r="45" spans="1:13" x14ac:dyDescent="0.2">
      <c r="A45" s="7" t="s">
        <v>326</v>
      </c>
      <c r="B45" s="7">
        <v>41</v>
      </c>
      <c r="C45" s="7" t="s">
        <v>323</v>
      </c>
      <c r="D45" s="7" t="s">
        <v>132</v>
      </c>
      <c r="E45" s="7">
        <v>3</v>
      </c>
      <c r="F45" s="8" t="s">
        <v>327</v>
      </c>
      <c r="G45" s="7" t="s">
        <v>134</v>
      </c>
      <c r="H45" s="7" t="s">
        <v>66</v>
      </c>
      <c r="I45" s="8" t="s">
        <v>325</v>
      </c>
      <c r="J45" s="7">
        <v>31</v>
      </c>
      <c r="K45" s="8" t="s">
        <v>133</v>
      </c>
      <c r="L45" s="7" t="s">
        <v>49</v>
      </c>
      <c r="M45" s="9" t="s">
        <v>50</v>
      </c>
    </row>
    <row r="46" spans="1:13" x14ac:dyDescent="0.2">
      <c r="A46" s="7" t="s">
        <v>328</v>
      </c>
      <c r="B46" s="7">
        <v>41</v>
      </c>
      <c r="C46" s="7" t="s">
        <v>323</v>
      </c>
      <c r="D46" s="7" t="s">
        <v>132</v>
      </c>
      <c r="E46" s="7">
        <v>3</v>
      </c>
      <c r="F46" s="8" t="s">
        <v>329</v>
      </c>
      <c r="G46" s="7" t="s">
        <v>63</v>
      </c>
      <c r="H46" s="7" t="s">
        <v>66</v>
      </c>
      <c r="I46" s="8" t="s">
        <v>325</v>
      </c>
      <c r="J46" s="7">
        <v>22</v>
      </c>
      <c r="K46" s="8" t="s">
        <v>109</v>
      </c>
      <c r="L46" s="7" t="s">
        <v>49</v>
      </c>
      <c r="M46" s="9" t="s">
        <v>50</v>
      </c>
    </row>
    <row r="47" spans="1:13" x14ac:dyDescent="0.2">
      <c r="A47" s="7" t="s">
        <v>330</v>
      </c>
      <c r="B47" s="7">
        <v>41</v>
      </c>
      <c r="C47" s="7" t="s">
        <v>323</v>
      </c>
      <c r="D47" s="7" t="s">
        <v>132</v>
      </c>
      <c r="E47" s="7">
        <v>3</v>
      </c>
      <c r="F47" s="8" t="s">
        <v>331</v>
      </c>
      <c r="G47" s="7" t="s">
        <v>136</v>
      </c>
      <c r="H47" s="7" t="s">
        <v>66</v>
      </c>
      <c r="I47" s="8" t="s">
        <v>325</v>
      </c>
      <c r="J47" s="7">
        <v>32</v>
      </c>
      <c r="K47" s="8" t="s">
        <v>135</v>
      </c>
      <c r="L47" s="7" t="s">
        <v>49</v>
      </c>
      <c r="M47" s="9" t="s">
        <v>50</v>
      </c>
    </row>
    <row r="48" spans="1:13" ht="28" x14ac:dyDescent="0.2">
      <c r="A48" s="7" t="s">
        <v>332</v>
      </c>
      <c r="B48" s="7">
        <v>41</v>
      </c>
      <c r="C48" s="7" t="s">
        <v>323</v>
      </c>
      <c r="D48" s="7" t="s">
        <v>132</v>
      </c>
      <c r="E48" s="7">
        <v>3</v>
      </c>
      <c r="F48" s="8" t="s">
        <v>333</v>
      </c>
      <c r="G48" s="7" t="s">
        <v>53</v>
      </c>
      <c r="H48" s="7" t="s">
        <v>47</v>
      </c>
      <c r="I48" s="8" t="s">
        <v>334</v>
      </c>
      <c r="J48" s="7">
        <v>2</v>
      </c>
      <c r="K48" s="8" t="s">
        <v>52</v>
      </c>
      <c r="L48" s="7" t="s">
        <v>49</v>
      </c>
      <c r="M48" s="9" t="s">
        <v>50</v>
      </c>
    </row>
    <row r="49" spans="1:13" ht="28" x14ac:dyDescent="0.2">
      <c r="A49" s="7" t="s">
        <v>335</v>
      </c>
      <c r="B49" s="7">
        <v>42</v>
      </c>
      <c r="C49" s="7" t="s">
        <v>336</v>
      </c>
      <c r="D49" s="7" t="s">
        <v>132</v>
      </c>
      <c r="E49" s="7">
        <v>3</v>
      </c>
      <c r="F49" s="8" t="s">
        <v>337</v>
      </c>
      <c r="G49" s="7" t="s">
        <v>53</v>
      </c>
      <c r="H49" s="7" t="s">
        <v>47</v>
      </c>
      <c r="I49" s="8" t="s">
        <v>338</v>
      </c>
      <c r="J49" s="7">
        <v>2</v>
      </c>
      <c r="K49" s="8" t="s">
        <v>52</v>
      </c>
      <c r="L49" s="7" t="s">
        <v>49</v>
      </c>
      <c r="M49" s="9" t="s">
        <v>50</v>
      </c>
    </row>
    <row r="50" spans="1:13" ht="28" x14ac:dyDescent="0.2">
      <c r="A50" s="7" t="s">
        <v>339</v>
      </c>
      <c r="B50" s="7">
        <v>43</v>
      </c>
      <c r="C50" s="7" t="s">
        <v>340</v>
      </c>
      <c r="D50" s="7" t="s">
        <v>132</v>
      </c>
      <c r="E50" s="7">
        <v>3</v>
      </c>
      <c r="F50" s="8" t="s">
        <v>341</v>
      </c>
      <c r="G50" s="7" t="s">
        <v>139</v>
      </c>
      <c r="H50" s="7" t="s">
        <v>119</v>
      </c>
      <c r="I50" s="8" t="s">
        <v>342</v>
      </c>
      <c r="J50" s="7">
        <v>33</v>
      </c>
      <c r="K50" s="8" t="s">
        <v>138</v>
      </c>
      <c r="L50" s="7" t="s">
        <v>49</v>
      </c>
      <c r="M50" s="9" t="s">
        <v>50</v>
      </c>
    </row>
    <row r="51" spans="1:13" ht="28" x14ac:dyDescent="0.2">
      <c r="A51" s="7" t="s">
        <v>343</v>
      </c>
      <c r="B51" s="7">
        <v>44</v>
      </c>
      <c r="C51" s="7" t="s">
        <v>344</v>
      </c>
      <c r="D51" s="7" t="s">
        <v>132</v>
      </c>
      <c r="E51" s="7">
        <v>3</v>
      </c>
      <c r="F51" s="8" t="s">
        <v>345</v>
      </c>
      <c r="G51" s="7" t="s">
        <v>53</v>
      </c>
      <c r="H51" s="7" t="s">
        <v>47</v>
      </c>
      <c r="I51" s="8" t="s">
        <v>346</v>
      </c>
      <c r="J51" s="7">
        <v>2</v>
      </c>
      <c r="K51" s="8" t="s">
        <v>52</v>
      </c>
      <c r="L51" s="7" t="s">
        <v>49</v>
      </c>
      <c r="M51" s="9" t="s">
        <v>50</v>
      </c>
    </row>
    <row r="52" spans="1:13" ht="28" x14ac:dyDescent="0.2">
      <c r="A52" s="7" t="s">
        <v>347</v>
      </c>
      <c r="B52" s="7">
        <v>45</v>
      </c>
      <c r="C52" s="7" t="s">
        <v>348</v>
      </c>
      <c r="D52" s="7" t="s">
        <v>132</v>
      </c>
      <c r="E52" s="7">
        <v>4</v>
      </c>
      <c r="F52" s="8" t="s">
        <v>349</v>
      </c>
      <c r="G52" s="7" t="s">
        <v>80</v>
      </c>
      <c r="H52" s="7" t="s">
        <v>66</v>
      </c>
      <c r="I52" s="8" t="s">
        <v>350</v>
      </c>
      <c r="J52" s="7">
        <v>10</v>
      </c>
      <c r="K52" s="8" t="s">
        <v>79</v>
      </c>
      <c r="L52" s="7" t="s">
        <v>49</v>
      </c>
      <c r="M52" s="10" t="s">
        <v>76</v>
      </c>
    </row>
    <row r="53" spans="1:13" ht="28" x14ac:dyDescent="0.2">
      <c r="A53" s="7" t="s">
        <v>351</v>
      </c>
      <c r="B53" s="7">
        <v>46</v>
      </c>
      <c r="C53" s="7" t="s">
        <v>352</v>
      </c>
      <c r="D53" s="7" t="s">
        <v>141</v>
      </c>
      <c r="E53" s="7">
        <v>2</v>
      </c>
      <c r="F53" s="8" t="s">
        <v>353</v>
      </c>
      <c r="G53" s="7" t="s">
        <v>97</v>
      </c>
      <c r="H53" s="7" t="s">
        <v>62</v>
      </c>
      <c r="I53" s="8" t="s">
        <v>354</v>
      </c>
      <c r="J53" s="7">
        <v>17</v>
      </c>
      <c r="K53" s="8" t="s">
        <v>96</v>
      </c>
      <c r="L53" s="7" t="s">
        <v>49</v>
      </c>
      <c r="M53" s="9" t="s">
        <v>50</v>
      </c>
    </row>
    <row r="54" spans="1:13" x14ac:dyDescent="0.2">
      <c r="A54" s="7" t="s">
        <v>355</v>
      </c>
      <c r="B54" s="7">
        <v>47</v>
      </c>
      <c r="C54" s="7" t="s">
        <v>356</v>
      </c>
      <c r="D54" s="7" t="s">
        <v>141</v>
      </c>
      <c r="E54" s="7">
        <v>2</v>
      </c>
      <c r="F54" s="8" t="s">
        <v>357</v>
      </c>
      <c r="G54" s="7" t="s">
        <v>87</v>
      </c>
      <c r="H54" s="7" t="s">
        <v>66</v>
      </c>
      <c r="I54" s="8" t="s">
        <v>358</v>
      </c>
      <c r="J54" s="7">
        <v>34</v>
      </c>
      <c r="K54" s="8" t="s">
        <v>140</v>
      </c>
      <c r="L54" s="7" t="s">
        <v>49</v>
      </c>
      <c r="M54" s="10" t="s">
        <v>76</v>
      </c>
    </row>
    <row r="55" spans="1:13" ht="28" x14ac:dyDescent="0.2">
      <c r="A55" s="7" t="s">
        <v>359</v>
      </c>
      <c r="B55" s="7">
        <v>48</v>
      </c>
      <c r="C55" s="7" t="s">
        <v>360</v>
      </c>
      <c r="D55" s="7" t="s">
        <v>141</v>
      </c>
      <c r="E55" s="7">
        <v>2</v>
      </c>
      <c r="F55" s="8" t="s">
        <v>361</v>
      </c>
      <c r="G55" s="7" t="s">
        <v>143</v>
      </c>
      <c r="H55" s="7" t="s">
        <v>84</v>
      </c>
      <c r="I55" s="8" t="s">
        <v>362</v>
      </c>
      <c r="J55" s="7">
        <v>35</v>
      </c>
      <c r="K55" s="8" t="s">
        <v>142</v>
      </c>
      <c r="L55" s="7" t="s">
        <v>49</v>
      </c>
      <c r="M55" s="10" t="s">
        <v>76</v>
      </c>
    </row>
    <row r="56" spans="1:13" ht="28" x14ac:dyDescent="0.2">
      <c r="A56" s="7" t="s">
        <v>363</v>
      </c>
      <c r="B56" s="7">
        <v>49</v>
      </c>
      <c r="C56" s="7" t="s">
        <v>364</v>
      </c>
      <c r="D56" s="7" t="s">
        <v>141</v>
      </c>
      <c r="E56" s="7">
        <v>2</v>
      </c>
      <c r="F56" s="8" t="s">
        <v>365</v>
      </c>
      <c r="G56" s="7" t="s">
        <v>80</v>
      </c>
      <c r="H56" s="7" t="s">
        <v>66</v>
      </c>
      <c r="I56" s="8" t="s">
        <v>366</v>
      </c>
      <c r="J56" s="7">
        <v>10</v>
      </c>
      <c r="K56" s="8" t="s">
        <v>79</v>
      </c>
      <c r="L56" s="7" t="s">
        <v>49</v>
      </c>
      <c r="M56" s="10" t="s">
        <v>76</v>
      </c>
    </row>
    <row r="57" spans="1:13" ht="28" x14ac:dyDescent="0.2">
      <c r="A57" s="7" t="s">
        <v>367</v>
      </c>
      <c r="B57" s="7">
        <v>50</v>
      </c>
      <c r="C57" s="7" t="s">
        <v>368</v>
      </c>
      <c r="D57" s="7" t="s">
        <v>141</v>
      </c>
      <c r="E57" s="7">
        <v>2</v>
      </c>
      <c r="F57" s="8" t="s">
        <v>369</v>
      </c>
      <c r="G57" s="7" t="s">
        <v>100</v>
      </c>
      <c r="H57" s="7" t="s">
        <v>66</v>
      </c>
      <c r="I57" s="8" t="s">
        <v>370</v>
      </c>
      <c r="J57" s="7">
        <v>18</v>
      </c>
      <c r="K57" s="8" t="s">
        <v>99</v>
      </c>
      <c r="L57" s="7" t="s">
        <v>49</v>
      </c>
      <c r="M57" s="9" t="s">
        <v>50</v>
      </c>
    </row>
    <row r="58" spans="1:13" ht="28" x14ac:dyDescent="0.2">
      <c r="A58" s="7" t="s">
        <v>371</v>
      </c>
      <c r="B58" s="7">
        <v>51</v>
      </c>
      <c r="C58" s="7" t="s">
        <v>372</v>
      </c>
      <c r="D58" s="7" t="s">
        <v>141</v>
      </c>
      <c r="E58" s="7">
        <v>2</v>
      </c>
      <c r="F58" s="8" t="s">
        <v>373</v>
      </c>
      <c r="G58" s="7" t="s">
        <v>136</v>
      </c>
      <c r="H58" s="7" t="s">
        <v>66</v>
      </c>
      <c r="I58" s="8" t="s">
        <v>374</v>
      </c>
      <c r="J58" s="7">
        <v>32</v>
      </c>
      <c r="K58" s="8" t="s">
        <v>135</v>
      </c>
      <c r="L58" s="7" t="s">
        <v>49</v>
      </c>
      <c r="M58" s="9" t="s">
        <v>50</v>
      </c>
    </row>
    <row r="59" spans="1:13" ht="28" x14ac:dyDescent="0.2">
      <c r="A59" s="7" t="s">
        <v>375</v>
      </c>
      <c r="B59" s="7">
        <v>52</v>
      </c>
      <c r="C59" s="7" t="s">
        <v>376</v>
      </c>
      <c r="D59" s="7" t="s">
        <v>141</v>
      </c>
      <c r="E59" s="7">
        <v>2</v>
      </c>
      <c r="F59" s="8" t="s">
        <v>377</v>
      </c>
      <c r="G59" s="7" t="s">
        <v>114</v>
      </c>
      <c r="H59" s="7" t="s">
        <v>106</v>
      </c>
      <c r="I59" s="8" t="s">
        <v>378</v>
      </c>
      <c r="J59" s="7">
        <v>24</v>
      </c>
      <c r="K59" s="8" t="s">
        <v>113</v>
      </c>
      <c r="L59" s="7" t="s">
        <v>49</v>
      </c>
      <c r="M59" s="9" t="s">
        <v>50</v>
      </c>
    </row>
    <row r="60" spans="1:13" ht="28" x14ac:dyDescent="0.2">
      <c r="A60" s="7" t="s">
        <v>379</v>
      </c>
      <c r="B60" s="7">
        <v>53</v>
      </c>
      <c r="C60" s="7" t="s">
        <v>380</v>
      </c>
      <c r="D60" s="7" t="s">
        <v>141</v>
      </c>
      <c r="E60" s="7">
        <v>2</v>
      </c>
      <c r="F60" s="8" t="s">
        <v>381</v>
      </c>
      <c r="G60" s="7" t="s">
        <v>57</v>
      </c>
      <c r="H60" s="7" t="s">
        <v>58</v>
      </c>
      <c r="I60" s="8" t="s">
        <v>382</v>
      </c>
      <c r="J60" s="7">
        <v>3</v>
      </c>
      <c r="K60" s="8" t="s">
        <v>56</v>
      </c>
      <c r="L60" s="7" t="s">
        <v>49</v>
      </c>
      <c r="M60" s="9" t="s">
        <v>50</v>
      </c>
    </row>
    <row r="61" spans="1:13" ht="28" x14ac:dyDescent="0.2">
      <c r="A61" s="7" t="s">
        <v>383</v>
      </c>
      <c r="B61" s="7">
        <v>54</v>
      </c>
      <c r="C61" s="7" t="s">
        <v>384</v>
      </c>
      <c r="D61" s="7" t="s">
        <v>141</v>
      </c>
      <c r="E61" s="7">
        <v>1</v>
      </c>
      <c r="F61" s="8" t="s">
        <v>385</v>
      </c>
      <c r="G61" s="7" t="s">
        <v>145</v>
      </c>
      <c r="H61" s="7" t="s">
        <v>47</v>
      </c>
      <c r="I61" s="8" t="s">
        <v>386</v>
      </c>
      <c r="J61" s="7">
        <v>36</v>
      </c>
      <c r="K61" s="8" t="s">
        <v>144</v>
      </c>
      <c r="L61" s="7" t="s">
        <v>49</v>
      </c>
      <c r="M61" s="9" t="s">
        <v>50</v>
      </c>
    </row>
    <row r="62" spans="1:13" ht="28" x14ac:dyDescent="0.2">
      <c r="A62" s="7" t="s">
        <v>387</v>
      </c>
      <c r="B62" s="7">
        <v>55</v>
      </c>
      <c r="C62" s="7" t="s">
        <v>388</v>
      </c>
      <c r="D62" s="7" t="s">
        <v>141</v>
      </c>
      <c r="E62" s="7">
        <v>1</v>
      </c>
      <c r="F62" s="8" t="s">
        <v>389</v>
      </c>
      <c r="G62" s="7" t="s">
        <v>147</v>
      </c>
      <c r="H62" s="7" t="s">
        <v>47</v>
      </c>
      <c r="I62" s="8" t="s">
        <v>390</v>
      </c>
      <c r="J62" s="7">
        <v>37</v>
      </c>
      <c r="K62" s="8" t="s">
        <v>146</v>
      </c>
      <c r="L62" s="7" t="s">
        <v>49</v>
      </c>
      <c r="M62" s="9" t="s">
        <v>50</v>
      </c>
    </row>
    <row r="63" spans="1:13" ht="28" x14ac:dyDescent="0.2">
      <c r="A63" s="7" t="s">
        <v>391</v>
      </c>
      <c r="B63" s="7">
        <v>56</v>
      </c>
      <c r="C63" s="7" t="s">
        <v>392</v>
      </c>
      <c r="D63" s="7" t="s">
        <v>393</v>
      </c>
      <c r="E63" s="7">
        <v>1</v>
      </c>
      <c r="F63" s="8" t="s">
        <v>394</v>
      </c>
      <c r="G63" s="7" t="s">
        <v>53</v>
      </c>
      <c r="H63" s="7" t="s">
        <v>47</v>
      </c>
      <c r="I63" s="8" t="s">
        <v>395</v>
      </c>
      <c r="J63" s="7">
        <v>2</v>
      </c>
      <c r="K63" s="8" t="s">
        <v>52</v>
      </c>
      <c r="L63" s="7" t="s">
        <v>49</v>
      </c>
      <c r="M63" s="9" t="s">
        <v>50</v>
      </c>
    </row>
    <row r="64" spans="1:13" ht="28" x14ac:dyDescent="0.2">
      <c r="A64" s="7" t="s">
        <v>396</v>
      </c>
      <c r="B64" s="7">
        <v>57</v>
      </c>
      <c r="C64" s="7" t="s">
        <v>397</v>
      </c>
      <c r="D64" s="7" t="s">
        <v>152</v>
      </c>
      <c r="E64" s="7">
        <v>1</v>
      </c>
      <c r="F64" s="8" t="s">
        <v>398</v>
      </c>
      <c r="G64" s="7" t="s">
        <v>57</v>
      </c>
      <c r="H64" s="7" t="s">
        <v>58</v>
      </c>
      <c r="I64" s="8" t="s">
        <v>399</v>
      </c>
      <c r="J64" s="7">
        <v>3</v>
      </c>
      <c r="K64" s="8" t="s">
        <v>56</v>
      </c>
      <c r="L64" s="7" t="s">
        <v>49</v>
      </c>
      <c r="M64" s="9" t="s">
        <v>50</v>
      </c>
    </row>
    <row r="65" spans="1:13" x14ac:dyDescent="0.2">
      <c r="A65" s="7" t="s">
        <v>400</v>
      </c>
      <c r="B65" s="7">
        <v>57</v>
      </c>
      <c r="C65" s="7" t="s">
        <v>397</v>
      </c>
      <c r="D65" s="7" t="s">
        <v>152</v>
      </c>
      <c r="E65" s="7">
        <v>1</v>
      </c>
      <c r="F65" s="8" t="s">
        <v>401</v>
      </c>
      <c r="G65" s="7" t="s">
        <v>94</v>
      </c>
      <c r="H65" s="7" t="s">
        <v>62</v>
      </c>
      <c r="I65" s="8" t="s">
        <v>402</v>
      </c>
      <c r="J65" s="7">
        <v>16</v>
      </c>
      <c r="K65" s="8" t="s">
        <v>93</v>
      </c>
      <c r="L65" s="7" t="s">
        <v>49</v>
      </c>
      <c r="M65" s="9" t="s">
        <v>50</v>
      </c>
    </row>
    <row r="66" spans="1:13" ht="28" x14ac:dyDescent="0.2">
      <c r="A66" s="7" t="s">
        <v>403</v>
      </c>
      <c r="B66" s="7">
        <v>57</v>
      </c>
      <c r="C66" s="7" t="s">
        <v>397</v>
      </c>
      <c r="D66" s="7" t="s">
        <v>152</v>
      </c>
      <c r="E66" s="7">
        <v>1</v>
      </c>
      <c r="F66" s="8" t="s">
        <v>404</v>
      </c>
      <c r="G66" s="7" t="s">
        <v>150</v>
      </c>
      <c r="H66" s="7" t="s">
        <v>47</v>
      </c>
      <c r="I66" s="8" t="s">
        <v>405</v>
      </c>
      <c r="J66" s="7">
        <v>38</v>
      </c>
      <c r="K66" s="8" t="s">
        <v>149</v>
      </c>
      <c r="L66" s="7" t="s">
        <v>49</v>
      </c>
      <c r="M66" s="9" t="s">
        <v>50</v>
      </c>
    </row>
    <row r="67" spans="1:13" ht="28" x14ac:dyDescent="0.2">
      <c r="A67" s="7" t="s">
        <v>406</v>
      </c>
      <c r="B67" s="7">
        <v>57</v>
      </c>
      <c r="C67" s="7" t="s">
        <v>397</v>
      </c>
      <c r="D67" s="7" t="s">
        <v>152</v>
      </c>
      <c r="E67" s="7">
        <v>1</v>
      </c>
      <c r="F67" s="8" t="s">
        <v>407</v>
      </c>
      <c r="G67" s="7" t="s">
        <v>154</v>
      </c>
      <c r="H67" s="7" t="s">
        <v>119</v>
      </c>
      <c r="I67" s="8" t="s">
        <v>408</v>
      </c>
      <c r="J67" s="7">
        <v>39</v>
      </c>
      <c r="K67" s="8" t="s">
        <v>153</v>
      </c>
      <c r="L67" s="7" t="s">
        <v>49</v>
      </c>
      <c r="M67" s="10" t="s">
        <v>76</v>
      </c>
    </row>
    <row r="68" spans="1:13" ht="28" x14ac:dyDescent="0.2">
      <c r="A68" s="7" t="s">
        <v>409</v>
      </c>
      <c r="B68" s="7">
        <v>60</v>
      </c>
      <c r="C68" s="7" t="s">
        <v>410</v>
      </c>
      <c r="D68" s="7" t="s">
        <v>152</v>
      </c>
      <c r="E68" s="7">
        <v>2</v>
      </c>
      <c r="F68" s="8" t="s">
        <v>411</v>
      </c>
      <c r="G68" s="7" t="s">
        <v>126</v>
      </c>
      <c r="H68" s="7" t="s">
        <v>119</v>
      </c>
      <c r="I68" s="8" t="s">
        <v>412</v>
      </c>
      <c r="J68" s="7">
        <v>29</v>
      </c>
      <c r="K68" s="8" t="s">
        <v>125</v>
      </c>
      <c r="L68" s="7" t="s">
        <v>49</v>
      </c>
      <c r="M68" s="9" t="s">
        <v>50</v>
      </c>
    </row>
    <row r="69" spans="1:13" ht="28" x14ac:dyDescent="0.2">
      <c r="A69" s="7" t="s">
        <v>413</v>
      </c>
      <c r="B69" s="7">
        <v>60</v>
      </c>
      <c r="C69" s="7" t="s">
        <v>410</v>
      </c>
      <c r="D69" s="7" t="s">
        <v>152</v>
      </c>
      <c r="E69" s="7">
        <v>2</v>
      </c>
      <c r="F69" s="8" t="s">
        <v>414</v>
      </c>
      <c r="G69" s="7" t="s">
        <v>80</v>
      </c>
      <c r="H69" s="7" t="s">
        <v>66</v>
      </c>
      <c r="I69" s="8" t="s">
        <v>415</v>
      </c>
      <c r="J69" s="7">
        <v>10</v>
      </c>
      <c r="K69" s="8" t="s">
        <v>79</v>
      </c>
      <c r="L69" s="7" t="s">
        <v>49</v>
      </c>
      <c r="M69" s="10" t="s">
        <v>76</v>
      </c>
    </row>
    <row r="70" spans="1:13" ht="28" x14ac:dyDescent="0.2">
      <c r="A70" s="7" t="s">
        <v>416</v>
      </c>
      <c r="B70" s="7">
        <v>60</v>
      </c>
      <c r="C70" s="7" t="s">
        <v>410</v>
      </c>
      <c r="D70" s="7" t="s">
        <v>152</v>
      </c>
      <c r="E70" s="7">
        <v>2</v>
      </c>
      <c r="F70" s="8" t="s">
        <v>417</v>
      </c>
      <c r="G70" s="7" t="s">
        <v>156</v>
      </c>
      <c r="H70" s="7" t="s">
        <v>66</v>
      </c>
      <c r="I70" s="8" t="s">
        <v>415</v>
      </c>
      <c r="J70" s="7">
        <v>40</v>
      </c>
      <c r="K70" s="8" t="s">
        <v>155</v>
      </c>
      <c r="L70" s="7" t="s">
        <v>49</v>
      </c>
      <c r="M70" s="10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5"/>
  <sheetViews>
    <sheetView zoomScaleNormal="100" workbookViewId="0">
      <pane ySplit="1" topLeftCell="A24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42" customWidth="1"/>
    <col min="3" max="3" width="18" customWidth="1"/>
    <col min="4" max="4" width="24" customWidth="1"/>
    <col min="5" max="5" width="26" customWidth="1"/>
    <col min="6" max="6" width="12" customWidth="1"/>
    <col min="7" max="7" width="14" customWidth="1"/>
    <col min="8" max="8" width="12" customWidth="1"/>
  </cols>
  <sheetData>
    <row r="1" spans="1:8" ht="30" customHeight="1" x14ac:dyDescent="0.2">
      <c r="A1" s="6" t="s">
        <v>34</v>
      </c>
      <c r="B1" s="6" t="s">
        <v>35</v>
      </c>
      <c r="C1" s="6" t="s">
        <v>418</v>
      </c>
      <c r="D1" s="6" t="s">
        <v>419</v>
      </c>
      <c r="E1" s="6" t="s">
        <v>420</v>
      </c>
      <c r="F1" s="6" t="s">
        <v>421</v>
      </c>
      <c r="G1" s="6" t="s">
        <v>158</v>
      </c>
      <c r="H1" s="6" t="s">
        <v>422</v>
      </c>
    </row>
    <row r="2" spans="1:8" x14ac:dyDescent="0.2">
      <c r="A2" s="7">
        <v>1</v>
      </c>
      <c r="B2" s="8" t="s">
        <v>45</v>
      </c>
      <c r="C2" s="7" t="s">
        <v>51</v>
      </c>
      <c r="D2" s="7" t="s">
        <v>423</v>
      </c>
      <c r="E2" s="7" t="s">
        <v>424</v>
      </c>
      <c r="F2" s="7" t="s">
        <v>271</v>
      </c>
      <c r="G2" s="7">
        <v>1</v>
      </c>
      <c r="H2" s="7"/>
    </row>
    <row r="3" spans="1:8" x14ac:dyDescent="0.2">
      <c r="A3" s="7">
        <v>1</v>
      </c>
      <c r="B3" s="8" t="s">
        <v>45</v>
      </c>
      <c r="C3" s="7" t="s">
        <v>51</v>
      </c>
      <c r="D3" s="7" t="s">
        <v>425</v>
      </c>
      <c r="E3" s="7" t="s">
        <v>426</v>
      </c>
      <c r="F3" s="7" t="s">
        <v>274</v>
      </c>
      <c r="G3" s="7">
        <v>1</v>
      </c>
      <c r="H3" s="7"/>
    </row>
    <row r="4" spans="1:8" x14ac:dyDescent="0.2">
      <c r="A4" s="7">
        <v>1</v>
      </c>
      <c r="B4" s="8" t="s">
        <v>45</v>
      </c>
      <c r="C4" s="7" t="s">
        <v>51</v>
      </c>
      <c r="D4" s="7" t="s">
        <v>427</v>
      </c>
      <c r="E4" s="7" t="s">
        <v>428</v>
      </c>
      <c r="F4" s="7" t="s">
        <v>278</v>
      </c>
      <c r="G4" s="7">
        <v>1</v>
      </c>
      <c r="H4" s="7"/>
    </row>
    <row r="5" spans="1:8" x14ac:dyDescent="0.2">
      <c r="A5" s="7">
        <v>1</v>
      </c>
      <c r="B5" s="8" t="s">
        <v>45</v>
      </c>
      <c r="C5" s="7" t="s">
        <v>51</v>
      </c>
      <c r="D5" s="7" t="s">
        <v>429</v>
      </c>
      <c r="E5" s="7" t="s">
        <v>430</v>
      </c>
      <c r="F5" s="7" t="s">
        <v>282</v>
      </c>
      <c r="G5" s="7">
        <v>1</v>
      </c>
      <c r="H5" s="7"/>
    </row>
    <row r="6" spans="1:8" x14ac:dyDescent="0.2">
      <c r="A6" s="7">
        <v>1</v>
      </c>
      <c r="B6" s="8" t="s">
        <v>45</v>
      </c>
      <c r="C6" s="7" t="s">
        <v>51</v>
      </c>
      <c r="D6" s="7" t="s">
        <v>431</v>
      </c>
      <c r="E6" s="7" t="s">
        <v>432</v>
      </c>
      <c r="F6" s="7" t="s">
        <v>286</v>
      </c>
      <c r="G6" s="7">
        <v>1</v>
      </c>
      <c r="H6" s="7"/>
    </row>
    <row r="7" spans="1:8" x14ac:dyDescent="0.2">
      <c r="A7" s="7">
        <v>2</v>
      </c>
      <c r="B7" s="8" t="s">
        <v>52</v>
      </c>
      <c r="C7" s="7" t="s">
        <v>51</v>
      </c>
      <c r="D7" s="7" t="s">
        <v>423</v>
      </c>
      <c r="E7" s="7" t="s">
        <v>424</v>
      </c>
      <c r="F7" s="7" t="s">
        <v>271</v>
      </c>
      <c r="G7" s="7">
        <v>2</v>
      </c>
      <c r="H7" s="7"/>
    </row>
    <row r="8" spans="1:8" x14ac:dyDescent="0.2">
      <c r="A8" s="7">
        <v>2</v>
      </c>
      <c r="B8" s="8" t="s">
        <v>52</v>
      </c>
      <c r="C8" s="7" t="s">
        <v>51</v>
      </c>
      <c r="D8" s="7" t="s">
        <v>425</v>
      </c>
      <c r="E8" s="7" t="s">
        <v>426</v>
      </c>
      <c r="F8" s="7" t="s">
        <v>274</v>
      </c>
      <c r="G8" s="7">
        <v>2</v>
      </c>
      <c r="H8" s="7"/>
    </row>
    <row r="9" spans="1:8" x14ac:dyDescent="0.2">
      <c r="A9" s="7">
        <v>2</v>
      </c>
      <c r="B9" s="8" t="s">
        <v>52</v>
      </c>
      <c r="C9" s="7" t="s">
        <v>51</v>
      </c>
      <c r="D9" s="7" t="s">
        <v>427</v>
      </c>
      <c r="E9" s="7" t="s">
        <v>428</v>
      </c>
      <c r="F9" s="7" t="s">
        <v>278</v>
      </c>
      <c r="G9" s="7">
        <v>2</v>
      </c>
      <c r="H9" s="7"/>
    </row>
    <row r="10" spans="1:8" x14ac:dyDescent="0.2">
      <c r="A10" s="7">
        <v>2</v>
      </c>
      <c r="B10" s="8" t="s">
        <v>52</v>
      </c>
      <c r="C10" s="7" t="s">
        <v>51</v>
      </c>
      <c r="D10" s="7" t="s">
        <v>429</v>
      </c>
      <c r="E10" s="7" t="s">
        <v>430</v>
      </c>
      <c r="F10" s="7" t="s">
        <v>282</v>
      </c>
      <c r="G10" s="7">
        <v>2</v>
      </c>
      <c r="H10" s="7"/>
    </row>
    <row r="11" spans="1:8" x14ac:dyDescent="0.2">
      <c r="A11" s="7">
        <v>2</v>
      </c>
      <c r="B11" s="8" t="s">
        <v>52</v>
      </c>
      <c r="C11" s="7" t="s">
        <v>51</v>
      </c>
      <c r="D11" s="7" t="s">
        <v>431</v>
      </c>
      <c r="E11" s="7" t="s">
        <v>432</v>
      </c>
      <c r="F11" s="7" t="s">
        <v>286</v>
      </c>
      <c r="G11" s="7">
        <v>2</v>
      </c>
      <c r="H11" s="7"/>
    </row>
    <row r="12" spans="1:8" x14ac:dyDescent="0.2">
      <c r="A12" s="7">
        <v>3</v>
      </c>
      <c r="B12" s="8" t="s">
        <v>56</v>
      </c>
      <c r="C12" s="7" t="s">
        <v>51</v>
      </c>
      <c r="D12" s="7" t="s">
        <v>433</v>
      </c>
      <c r="E12" s="7" t="s">
        <v>434</v>
      </c>
      <c r="F12" s="7" t="s">
        <v>304</v>
      </c>
      <c r="G12" s="7">
        <v>3</v>
      </c>
      <c r="H12" s="7"/>
    </row>
    <row r="13" spans="1:8" x14ac:dyDescent="0.2">
      <c r="A13" s="7">
        <v>3</v>
      </c>
      <c r="B13" s="8" t="s">
        <v>56</v>
      </c>
      <c r="C13" s="7" t="s">
        <v>51</v>
      </c>
      <c r="D13" s="7" t="s">
        <v>435</v>
      </c>
      <c r="E13" s="7" t="s">
        <v>436</v>
      </c>
      <c r="F13" s="7" t="s">
        <v>308</v>
      </c>
      <c r="G13" s="7">
        <v>3</v>
      </c>
      <c r="H13" s="7"/>
    </row>
    <row r="14" spans="1:8" x14ac:dyDescent="0.2">
      <c r="A14" s="7">
        <v>3</v>
      </c>
      <c r="B14" s="8" t="s">
        <v>56</v>
      </c>
      <c r="C14" s="7" t="s">
        <v>51</v>
      </c>
      <c r="D14" s="7" t="s">
        <v>437</v>
      </c>
      <c r="E14" s="7" t="s">
        <v>438</v>
      </c>
      <c r="F14" s="7" t="s">
        <v>312</v>
      </c>
      <c r="G14" s="7">
        <v>3</v>
      </c>
      <c r="H14" s="7"/>
    </row>
    <row r="15" spans="1:8" x14ac:dyDescent="0.2">
      <c r="A15" s="7">
        <v>4</v>
      </c>
      <c r="B15" s="8" t="s">
        <v>60</v>
      </c>
      <c r="C15" s="7" t="s">
        <v>51</v>
      </c>
      <c r="D15" s="7" t="s">
        <v>433</v>
      </c>
      <c r="E15" s="7" t="s">
        <v>434</v>
      </c>
      <c r="F15" s="7" t="s">
        <v>304</v>
      </c>
      <c r="G15" s="7">
        <v>3</v>
      </c>
      <c r="H15" s="7"/>
    </row>
    <row r="16" spans="1:8" x14ac:dyDescent="0.2">
      <c r="A16" s="7">
        <v>4</v>
      </c>
      <c r="B16" s="8" t="s">
        <v>60</v>
      </c>
      <c r="C16" s="7" t="s">
        <v>51</v>
      </c>
      <c r="D16" s="7" t="s">
        <v>435</v>
      </c>
      <c r="E16" s="7" t="s">
        <v>436</v>
      </c>
      <c r="F16" s="7" t="s">
        <v>308</v>
      </c>
      <c r="G16" s="7">
        <v>3</v>
      </c>
      <c r="H16" s="7"/>
    </row>
    <row r="17" spans="1:8" x14ac:dyDescent="0.2">
      <c r="A17" s="7">
        <v>4</v>
      </c>
      <c r="B17" s="8" t="s">
        <v>60</v>
      </c>
      <c r="C17" s="7" t="s">
        <v>51</v>
      </c>
      <c r="D17" s="7" t="s">
        <v>437</v>
      </c>
      <c r="E17" s="7" t="s">
        <v>438</v>
      </c>
      <c r="F17" s="7" t="s">
        <v>312</v>
      </c>
      <c r="G17" s="7">
        <v>3</v>
      </c>
      <c r="H17" s="7"/>
    </row>
    <row r="18" spans="1:8" x14ac:dyDescent="0.2">
      <c r="A18" s="7">
        <v>5</v>
      </c>
      <c r="B18" s="8" t="s">
        <v>64</v>
      </c>
      <c r="C18" s="7" t="s">
        <v>51</v>
      </c>
      <c r="D18" s="7" t="s">
        <v>439</v>
      </c>
      <c r="E18" s="7" t="s">
        <v>440</v>
      </c>
      <c r="F18" s="7" t="s">
        <v>336</v>
      </c>
      <c r="G18" s="7">
        <v>4</v>
      </c>
      <c r="H18" s="7"/>
    </row>
    <row r="19" spans="1:8" x14ac:dyDescent="0.2">
      <c r="A19" s="7">
        <v>6</v>
      </c>
      <c r="B19" s="8" t="s">
        <v>68</v>
      </c>
      <c r="C19" s="7" t="s">
        <v>51</v>
      </c>
      <c r="D19" s="7" t="s">
        <v>439</v>
      </c>
      <c r="E19" s="7" t="s">
        <v>440</v>
      </c>
      <c r="F19" s="7" t="s">
        <v>336</v>
      </c>
      <c r="G19" s="7">
        <v>4</v>
      </c>
      <c r="H19" s="7"/>
    </row>
    <row r="20" spans="1:8" x14ac:dyDescent="0.2">
      <c r="A20" s="7">
        <v>7</v>
      </c>
      <c r="B20" s="8" t="s">
        <v>70</v>
      </c>
      <c r="C20" s="7" t="s">
        <v>51</v>
      </c>
      <c r="D20" s="7" t="s">
        <v>441</v>
      </c>
      <c r="E20" s="7" t="s">
        <v>442</v>
      </c>
      <c r="F20" s="7" t="s">
        <v>197</v>
      </c>
      <c r="G20" s="7">
        <v>5</v>
      </c>
      <c r="H20" s="7"/>
    </row>
    <row r="21" spans="1:8" x14ac:dyDescent="0.2">
      <c r="A21" s="7">
        <v>8</v>
      </c>
      <c r="B21" s="8" t="s">
        <v>73</v>
      </c>
      <c r="C21" s="7" t="s">
        <v>51</v>
      </c>
      <c r="D21" s="7" t="s">
        <v>443</v>
      </c>
      <c r="E21" s="7" t="s">
        <v>444</v>
      </c>
      <c r="F21" s="7" t="s">
        <v>388</v>
      </c>
      <c r="G21" s="7">
        <v>6</v>
      </c>
      <c r="H21" s="7"/>
    </row>
    <row r="22" spans="1:8" x14ac:dyDescent="0.2">
      <c r="A22" s="7">
        <v>9</v>
      </c>
      <c r="B22" s="8" t="s">
        <v>77</v>
      </c>
      <c r="C22" s="7" t="s">
        <v>51</v>
      </c>
      <c r="D22" s="7" t="s">
        <v>445</v>
      </c>
      <c r="E22" s="7" t="s">
        <v>446</v>
      </c>
      <c r="F22" s="7" t="s">
        <v>348</v>
      </c>
      <c r="G22" s="7">
        <v>7</v>
      </c>
      <c r="H22" s="7"/>
    </row>
    <row r="23" spans="1:8" x14ac:dyDescent="0.2">
      <c r="A23" s="7">
        <v>9</v>
      </c>
      <c r="B23" s="8" t="s">
        <v>77</v>
      </c>
      <c r="C23" s="7" t="s">
        <v>51</v>
      </c>
      <c r="D23" s="7" t="s">
        <v>447</v>
      </c>
      <c r="E23" s="7" t="s">
        <v>448</v>
      </c>
      <c r="F23" s="7" t="s">
        <v>352</v>
      </c>
      <c r="G23" s="7">
        <v>7</v>
      </c>
      <c r="H23" s="7"/>
    </row>
    <row r="24" spans="1:8" x14ac:dyDescent="0.2">
      <c r="A24" s="7">
        <v>10</v>
      </c>
      <c r="B24" s="8" t="s">
        <v>79</v>
      </c>
      <c r="C24" s="7" t="s">
        <v>51</v>
      </c>
      <c r="D24" s="7" t="s">
        <v>449</v>
      </c>
      <c r="E24" s="7" t="s">
        <v>450</v>
      </c>
      <c r="F24" s="7" t="s">
        <v>368</v>
      </c>
      <c r="G24" s="7">
        <v>8</v>
      </c>
      <c r="H24" s="7"/>
    </row>
    <row r="25" spans="1:8" x14ac:dyDescent="0.2">
      <c r="A25" s="7">
        <v>11</v>
      </c>
      <c r="B25" s="8" t="s">
        <v>82</v>
      </c>
      <c r="C25" s="7" t="s">
        <v>51</v>
      </c>
      <c r="D25" s="7" t="s">
        <v>451</v>
      </c>
      <c r="E25" s="7" t="s">
        <v>452</v>
      </c>
      <c r="F25" s="7" t="s">
        <v>185</v>
      </c>
      <c r="G25" s="7">
        <v>9</v>
      </c>
      <c r="H25" s="7"/>
    </row>
    <row r="26" spans="1:8" x14ac:dyDescent="0.2">
      <c r="A26" s="7">
        <v>12</v>
      </c>
      <c r="B26" s="8" t="s">
        <v>85</v>
      </c>
      <c r="C26" s="7" t="s">
        <v>51</v>
      </c>
      <c r="D26" s="7" t="s">
        <v>453</v>
      </c>
      <c r="E26" s="7" t="s">
        <v>454</v>
      </c>
      <c r="F26" s="7" t="s">
        <v>372</v>
      </c>
      <c r="G26" s="7">
        <v>10</v>
      </c>
      <c r="H26" s="7"/>
    </row>
    <row r="27" spans="1:8" x14ac:dyDescent="0.2">
      <c r="A27" s="7">
        <v>5</v>
      </c>
      <c r="B27" s="8" t="s">
        <v>64</v>
      </c>
      <c r="C27" s="7" t="s">
        <v>51</v>
      </c>
      <c r="D27" s="7" t="s">
        <v>455</v>
      </c>
      <c r="E27" s="7" t="s">
        <v>456</v>
      </c>
      <c r="F27" s="7" t="s">
        <v>457</v>
      </c>
      <c r="G27" s="7">
        <v>11</v>
      </c>
      <c r="H27" s="7"/>
    </row>
    <row r="28" spans="1:8" x14ac:dyDescent="0.2">
      <c r="A28" s="7">
        <v>5</v>
      </c>
      <c r="B28" s="8" t="s">
        <v>64</v>
      </c>
      <c r="C28" s="7" t="s">
        <v>51</v>
      </c>
      <c r="D28" s="7" t="s">
        <v>458</v>
      </c>
      <c r="E28" s="7" t="s">
        <v>459</v>
      </c>
      <c r="F28" s="7" t="s">
        <v>460</v>
      </c>
      <c r="G28" s="7">
        <v>11</v>
      </c>
      <c r="H28" s="7"/>
    </row>
    <row r="29" spans="1:8" x14ac:dyDescent="0.2">
      <c r="A29" s="7">
        <v>10</v>
      </c>
      <c r="B29" s="8" t="s">
        <v>79</v>
      </c>
      <c r="C29" s="7" t="s">
        <v>51</v>
      </c>
      <c r="D29" s="7" t="s">
        <v>449</v>
      </c>
      <c r="E29" s="7" t="s">
        <v>450</v>
      </c>
      <c r="F29" s="7" t="s">
        <v>368</v>
      </c>
      <c r="G29" s="7">
        <v>12</v>
      </c>
      <c r="H29" s="7" t="s">
        <v>461</v>
      </c>
    </row>
    <row r="30" spans="1:8" x14ac:dyDescent="0.2">
      <c r="A30" s="7">
        <v>13</v>
      </c>
      <c r="B30" s="8" t="s">
        <v>86</v>
      </c>
      <c r="C30" s="7" t="s">
        <v>88</v>
      </c>
      <c r="D30" s="7" t="s">
        <v>462</v>
      </c>
      <c r="E30" s="7" t="s">
        <v>463</v>
      </c>
      <c r="F30" s="7" t="s">
        <v>278</v>
      </c>
      <c r="G30" s="7">
        <v>13</v>
      </c>
      <c r="H30" s="7"/>
    </row>
    <row r="31" spans="1:8" x14ac:dyDescent="0.2">
      <c r="A31" s="7">
        <v>13</v>
      </c>
      <c r="B31" s="8" t="s">
        <v>86</v>
      </c>
      <c r="C31" s="7" t="s">
        <v>88</v>
      </c>
      <c r="D31" s="7" t="s">
        <v>464</v>
      </c>
      <c r="E31" s="7" t="s">
        <v>465</v>
      </c>
      <c r="F31" s="7" t="s">
        <v>466</v>
      </c>
      <c r="G31" s="7">
        <v>13</v>
      </c>
      <c r="H31" s="7"/>
    </row>
    <row r="32" spans="1:8" x14ac:dyDescent="0.2">
      <c r="A32" s="7">
        <v>14</v>
      </c>
      <c r="B32" s="8" t="s">
        <v>89</v>
      </c>
      <c r="C32" s="7" t="s">
        <v>88</v>
      </c>
      <c r="D32" s="7" t="s">
        <v>467</v>
      </c>
      <c r="E32" s="7" t="s">
        <v>468</v>
      </c>
      <c r="F32" s="7" t="s">
        <v>469</v>
      </c>
      <c r="G32" s="7">
        <v>14</v>
      </c>
      <c r="H32" s="7"/>
    </row>
    <row r="33" spans="1:8" x14ac:dyDescent="0.2">
      <c r="A33" s="7">
        <v>15</v>
      </c>
      <c r="B33" s="8" t="s">
        <v>91</v>
      </c>
      <c r="C33" s="7" t="s">
        <v>88</v>
      </c>
      <c r="D33" s="7" t="s">
        <v>470</v>
      </c>
      <c r="E33" s="7" t="s">
        <v>471</v>
      </c>
      <c r="F33" s="7" t="s">
        <v>472</v>
      </c>
      <c r="G33" s="7">
        <v>15</v>
      </c>
      <c r="H33" s="7"/>
    </row>
    <row r="34" spans="1:8" x14ac:dyDescent="0.2">
      <c r="A34" s="7">
        <v>16</v>
      </c>
      <c r="B34" s="8" t="s">
        <v>93</v>
      </c>
      <c r="C34" s="7" t="s">
        <v>88</v>
      </c>
      <c r="D34" s="7" t="s">
        <v>473</v>
      </c>
      <c r="E34" s="7" t="s">
        <v>474</v>
      </c>
      <c r="F34" s="7" t="s">
        <v>475</v>
      </c>
      <c r="G34" s="7">
        <v>16</v>
      </c>
      <c r="H34" s="7"/>
    </row>
    <row r="35" spans="1:8" x14ac:dyDescent="0.2">
      <c r="A35" s="7">
        <v>16</v>
      </c>
      <c r="B35" s="8" t="s">
        <v>93</v>
      </c>
      <c r="C35" s="7" t="s">
        <v>88</v>
      </c>
      <c r="D35" s="7" t="s">
        <v>476</v>
      </c>
      <c r="E35" s="7" t="s">
        <v>477</v>
      </c>
      <c r="F35" s="7" t="s">
        <v>478</v>
      </c>
      <c r="G35" s="7">
        <v>16</v>
      </c>
      <c r="H35" s="7"/>
    </row>
    <row r="36" spans="1:8" x14ac:dyDescent="0.2">
      <c r="A36" s="7">
        <v>17</v>
      </c>
      <c r="B36" s="8" t="s">
        <v>96</v>
      </c>
      <c r="C36" s="7" t="s">
        <v>88</v>
      </c>
      <c r="D36" s="7" t="s">
        <v>479</v>
      </c>
      <c r="E36" s="7" t="s">
        <v>480</v>
      </c>
      <c r="F36" s="7" t="s">
        <v>481</v>
      </c>
      <c r="G36" s="7">
        <v>17</v>
      </c>
      <c r="H36" s="7"/>
    </row>
    <row r="37" spans="1:8" x14ac:dyDescent="0.2">
      <c r="A37" s="7">
        <v>5</v>
      </c>
      <c r="B37" s="8" t="s">
        <v>64</v>
      </c>
      <c r="C37" s="7" t="s">
        <v>88</v>
      </c>
      <c r="D37" s="7" t="s">
        <v>482</v>
      </c>
      <c r="E37" s="7" t="s">
        <v>483</v>
      </c>
      <c r="F37" s="7" t="s">
        <v>319</v>
      </c>
      <c r="G37" s="7">
        <v>18</v>
      </c>
      <c r="H37" s="7"/>
    </row>
    <row r="38" spans="1:8" x14ac:dyDescent="0.2">
      <c r="A38" s="7">
        <v>18</v>
      </c>
      <c r="B38" s="8" t="s">
        <v>99</v>
      </c>
      <c r="C38" s="7" t="s">
        <v>88</v>
      </c>
      <c r="D38" s="7" t="s">
        <v>464</v>
      </c>
      <c r="E38" s="7" t="s">
        <v>465</v>
      </c>
      <c r="F38" s="7" t="s">
        <v>466</v>
      </c>
      <c r="G38" s="7">
        <v>19</v>
      </c>
      <c r="H38" s="7"/>
    </row>
    <row r="39" spans="1:8" x14ac:dyDescent="0.2">
      <c r="A39" s="7">
        <v>18</v>
      </c>
      <c r="B39" s="8" t="s">
        <v>99</v>
      </c>
      <c r="C39" s="7" t="s">
        <v>88</v>
      </c>
      <c r="D39" s="7" t="s">
        <v>467</v>
      </c>
      <c r="E39" s="7" t="s">
        <v>468</v>
      </c>
      <c r="F39" s="7" t="s">
        <v>469</v>
      </c>
      <c r="G39" s="7">
        <v>19</v>
      </c>
      <c r="H39" s="7"/>
    </row>
    <row r="40" spans="1:8" x14ac:dyDescent="0.2">
      <c r="A40" s="7">
        <v>18</v>
      </c>
      <c r="B40" s="8" t="s">
        <v>99</v>
      </c>
      <c r="C40" s="7" t="s">
        <v>88</v>
      </c>
      <c r="D40" s="7" t="s">
        <v>484</v>
      </c>
      <c r="E40" s="7" t="s">
        <v>485</v>
      </c>
      <c r="F40" s="7" t="s">
        <v>486</v>
      </c>
      <c r="G40" s="7">
        <v>19</v>
      </c>
      <c r="H40" s="7"/>
    </row>
    <row r="41" spans="1:8" x14ac:dyDescent="0.2">
      <c r="A41" s="7">
        <v>18</v>
      </c>
      <c r="B41" s="8" t="s">
        <v>99</v>
      </c>
      <c r="C41" s="7" t="s">
        <v>88</v>
      </c>
      <c r="D41" s="7" t="s">
        <v>487</v>
      </c>
      <c r="E41" s="7" t="s">
        <v>488</v>
      </c>
      <c r="F41" s="7" t="s">
        <v>489</v>
      </c>
      <c r="G41" s="7">
        <v>19</v>
      </c>
      <c r="H41" s="7"/>
    </row>
    <row r="42" spans="1:8" x14ac:dyDescent="0.2">
      <c r="A42" s="7">
        <v>18</v>
      </c>
      <c r="B42" s="8" t="s">
        <v>99</v>
      </c>
      <c r="C42" s="7" t="s">
        <v>88</v>
      </c>
      <c r="D42" s="7" t="s">
        <v>490</v>
      </c>
      <c r="E42" s="7" t="s">
        <v>491</v>
      </c>
      <c r="F42" s="7" t="s">
        <v>492</v>
      </c>
      <c r="G42" s="7">
        <v>19</v>
      </c>
      <c r="H42" s="7"/>
    </row>
    <row r="43" spans="1:8" x14ac:dyDescent="0.2">
      <c r="A43" s="7">
        <v>18</v>
      </c>
      <c r="B43" s="8" t="s">
        <v>99</v>
      </c>
      <c r="C43" s="7" t="s">
        <v>88</v>
      </c>
      <c r="D43" s="7" t="s">
        <v>493</v>
      </c>
      <c r="E43" s="7" t="s">
        <v>494</v>
      </c>
      <c r="F43" s="7" t="s">
        <v>495</v>
      </c>
      <c r="G43" s="7">
        <v>19</v>
      </c>
      <c r="H43" s="7"/>
    </row>
    <row r="44" spans="1:8" x14ac:dyDescent="0.2">
      <c r="A44" s="7">
        <v>11</v>
      </c>
      <c r="B44" s="8" t="s">
        <v>82</v>
      </c>
      <c r="C44" s="7" t="s">
        <v>88</v>
      </c>
      <c r="D44" s="7" t="s">
        <v>470</v>
      </c>
      <c r="E44" s="7" t="s">
        <v>471</v>
      </c>
      <c r="F44" s="7" t="s">
        <v>472</v>
      </c>
      <c r="G44" s="7">
        <v>20</v>
      </c>
      <c r="H44" s="7"/>
    </row>
    <row r="45" spans="1:8" x14ac:dyDescent="0.2">
      <c r="A45" s="7">
        <v>11</v>
      </c>
      <c r="B45" s="8" t="s">
        <v>82</v>
      </c>
      <c r="C45" s="7" t="s">
        <v>88</v>
      </c>
      <c r="D45" s="7" t="s">
        <v>496</v>
      </c>
      <c r="E45" s="7" t="s">
        <v>497</v>
      </c>
      <c r="F45" s="7" t="s">
        <v>498</v>
      </c>
      <c r="G45" s="7">
        <v>20</v>
      </c>
      <c r="H45" s="7"/>
    </row>
    <row r="46" spans="1:8" x14ac:dyDescent="0.2">
      <c r="A46" s="7">
        <v>19</v>
      </c>
      <c r="B46" s="8" t="s">
        <v>102</v>
      </c>
      <c r="C46" s="7" t="s">
        <v>88</v>
      </c>
      <c r="D46" s="7" t="s">
        <v>499</v>
      </c>
      <c r="E46" s="7" t="s">
        <v>500</v>
      </c>
      <c r="F46" s="7" t="s">
        <v>501</v>
      </c>
      <c r="G46" s="7">
        <v>21</v>
      </c>
      <c r="H46" s="7"/>
    </row>
    <row r="47" spans="1:8" x14ac:dyDescent="0.2">
      <c r="A47" s="7">
        <v>20</v>
      </c>
      <c r="B47" s="8" t="s">
        <v>104</v>
      </c>
      <c r="C47" s="7" t="s">
        <v>88</v>
      </c>
      <c r="D47" s="7" t="s">
        <v>502</v>
      </c>
      <c r="E47" s="7" t="s">
        <v>503</v>
      </c>
      <c r="F47" s="7" t="s">
        <v>504</v>
      </c>
      <c r="G47" s="7">
        <v>22</v>
      </c>
      <c r="H47" s="7"/>
    </row>
    <row r="48" spans="1:8" x14ac:dyDescent="0.2">
      <c r="A48" s="7">
        <v>21</v>
      </c>
      <c r="B48" s="8" t="s">
        <v>107</v>
      </c>
      <c r="C48" s="7" t="s">
        <v>88</v>
      </c>
      <c r="D48" s="7" t="s">
        <v>505</v>
      </c>
      <c r="E48" s="7" t="s">
        <v>506</v>
      </c>
      <c r="F48" s="7" t="s">
        <v>323</v>
      </c>
      <c r="G48" s="7">
        <v>23</v>
      </c>
      <c r="H48" s="7"/>
    </row>
    <row r="49" spans="1:8" x14ac:dyDescent="0.2">
      <c r="A49" s="7">
        <v>21</v>
      </c>
      <c r="B49" s="8" t="s">
        <v>107</v>
      </c>
      <c r="C49" s="7" t="s">
        <v>88</v>
      </c>
      <c r="D49" s="7" t="s">
        <v>507</v>
      </c>
      <c r="E49" s="7" t="s">
        <v>508</v>
      </c>
      <c r="F49" s="7" t="s">
        <v>509</v>
      </c>
      <c r="G49" s="7">
        <v>23</v>
      </c>
      <c r="H49" s="7"/>
    </row>
    <row r="50" spans="1:8" x14ac:dyDescent="0.2">
      <c r="A50" s="7">
        <v>21</v>
      </c>
      <c r="B50" s="8" t="s">
        <v>107</v>
      </c>
      <c r="C50" s="7" t="s">
        <v>88</v>
      </c>
      <c r="D50" s="7" t="s">
        <v>510</v>
      </c>
      <c r="E50" s="7" t="s">
        <v>511</v>
      </c>
      <c r="F50" s="7" t="s">
        <v>512</v>
      </c>
      <c r="G50" s="7">
        <v>23</v>
      </c>
      <c r="H50" s="7"/>
    </row>
    <row r="51" spans="1:8" x14ac:dyDescent="0.2">
      <c r="A51" s="7">
        <v>21</v>
      </c>
      <c r="B51" s="8" t="s">
        <v>107</v>
      </c>
      <c r="C51" s="7" t="s">
        <v>88</v>
      </c>
      <c r="D51" s="7" t="s">
        <v>513</v>
      </c>
      <c r="E51" s="7" t="s">
        <v>514</v>
      </c>
      <c r="F51" s="7" t="s">
        <v>515</v>
      </c>
      <c r="G51" s="7">
        <v>23</v>
      </c>
      <c r="H51" s="7"/>
    </row>
    <row r="52" spans="1:8" x14ac:dyDescent="0.2">
      <c r="A52" s="7">
        <v>21</v>
      </c>
      <c r="B52" s="8" t="s">
        <v>107</v>
      </c>
      <c r="C52" s="7" t="s">
        <v>88</v>
      </c>
      <c r="D52" s="7" t="s">
        <v>516</v>
      </c>
      <c r="E52" s="7" t="s">
        <v>517</v>
      </c>
      <c r="F52" s="7" t="s">
        <v>518</v>
      </c>
      <c r="G52" s="7">
        <v>23</v>
      </c>
      <c r="H52" s="7"/>
    </row>
    <row r="53" spans="1:8" x14ac:dyDescent="0.2">
      <c r="A53" s="7">
        <v>21</v>
      </c>
      <c r="B53" s="8" t="s">
        <v>107</v>
      </c>
      <c r="C53" s="7" t="s">
        <v>88</v>
      </c>
      <c r="D53" s="7" t="s">
        <v>519</v>
      </c>
      <c r="E53" s="7" t="s">
        <v>520</v>
      </c>
      <c r="F53" s="7" t="s">
        <v>521</v>
      </c>
      <c r="G53" s="7">
        <v>23</v>
      </c>
      <c r="H53" s="7"/>
    </row>
    <row r="54" spans="1:8" x14ac:dyDescent="0.2">
      <c r="A54" s="7">
        <v>22</v>
      </c>
      <c r="B54" s="8" t="s">
        <v>109</v>
      </c>
      <c r="C54" s="7" t="s">
        <v>88</v>
      </c>
      <c r="D54" s="7" t="s">
        <v>464</v>
      </c>
      <c r="E54" s="7" t="s">
        <v>465</v>
      </c>
      <c r="F54" s="7" t="s">
        <v>466</v>
      </c>
      <c r="G54" s="7">
        <v>24</v>
      </c>
      <c r="H54" s="7"/>
    </row>
    <row r="55" spans="1:8" x14ac:dyDescent="0.2">
      <c r="A55" s="7">
        <v>23</v>
      </c>
      <c r="B55" s="8" t="s">
        <v>111</v>
      </c>
      <c r="C55" s="7" t="s">
        <v>88</v>
      </c>
      <c r="D55" s="7" t="s">
        <v>464</v>
      </c>
      <c r="E55" s="7" t="s">
        <v>465</v>
      </c>
      <c r="F55" s="7" t="s">
        <v>466</v>
      </c>
      <c r="G55" s="7">
        <v>25</v>
      </c>
      <c r="H55" s="7"/>
    </row>
    <row r="56" spans="1:8" x14ac:dyDescent="0.2">
      <c r="A56" s="7">
        <v>23</v>
      </c>
      <c r="B56" s="8" t="s">
        <v>111</v>
      </c>
      <c r="C56" s="7" t="s">
        <v>88</v>
      </c>
      <c r="D56" s="7" t="s">
        <v>493</v>
      </c>
      <c r="E56" s="7" t="s">
        <v>494</v>
      </c>
      <c r="F56" s="7" t="s">
        <v>495</v>
      </c>
      <c r="G56" s="7">
        <v>25</v>
      </c>
      <c r="H56" s="7"/>
    </row>
    <row r="57" spans="1:8" x14ac:dyDescent="0.2">
      <c r="A57" s="7">
        <v>23</v>
      </c>
      <c r="B57" s="8" t="s">
        <v>111</v>
      </c>
      <c r="C57" s="7" t="s">
        <v>88</v>
      </c>
      <c r="D57" s="7" t="s">
        <v>510</v>
      </c>
      <c r="E57" s="7" t="s">
        <v>511</v>
      </c>
      <c r="F57" s="7" t="s">
        <v>512</v>
      </c>
      <c r="G57" s="7">
        <v>25</v>
      </c>
      <c r="H57" s="7"/>
    </row>
    <row r="58" spans="1:8" x14ac:dyDescent="0.2">
      <c r="A58" s="7">
        <v>6</v>
      </c>
      <c r="B58" s="8" t="s">
        <v>68</v>
      </c>
      <c r="C58" s="7" t="s">
        <v>88</v>
      </c>
      <c r="D58" s="7" t="s">
        <v>493</v>
      </c>
      <c r="E58" s="7" t="s">
        <v>494</v>
      </c>
      <c r="F58" s="7" t="s">
        <v>495</v>
      </c>
      <c r="G58" s="7">
        <v>26</v>
      </c>
      <c r="H58" s="7"/>
    </row>
    <row r="59" spans="1:8" x14ac:dyDescent="0.2">
      <c r="A59" s="7">
        <v>24</v>
      </c>
      <c r="B59" s="8" t="s">
        <v>113</v>
      </c>
      <c r="C59" s="7" t="s">
        <v>88</v>
      </c>
      <c r="D59" s="7" t="s">
        <v>464</v>
      </c>
      <c r="E59" s="7" t="s">
        <v>465</v>
      </c>
      <c r="F59" s="7" t="s">
        <v>466</v>
      </c>
      <c r="G59" s="7">
        <v>27</v>
      </c>
      <c r="H59" s="7"/>
    </row>
    <row r="60" spans="1:8" x14ac:dyDescent="0.2">
      <c r="A60" s="7">
        <v>24</v>
      </c>
      <c r="B60" s="8" t="s">
        <v>113</v>
      </c>
      <c r="C60" s="7" t="s">
        <v>88</v>
      </c>
      <c r="D60" s="7" t="s">
        <v>493</v>
      </c>
      <c r="E60" s="7" t="s">
        <v>494</v>
      </c>
      <c r="F60" s="7" t="s">
        <v>495</v>
      </c>
      <c r="G60" s="7">
        <v>27</v>
      </c>
      <c r="H60" s="7"/>
    </row>
    <row r="61" spans="1:8" x14ac:dyDescent="0.2">
      <c r="A61" s="7">
        <v>24</v>
      </c>
      <c r="B61" s="8" t="s">
        <v>113</v>
      </c>
      <c r="C61" s="7" t="s">
        <v>88</v>
      </c>
      <c r="D61" s="7" t="s">
        <v>510</v>
      </c>
      <c r="E61" s="7" t="s">
        <v>511</v>
      </c>
      <c r="F61" s="7" t="s">
        <v>512</v>
      </c>
      <c r="G61" s="7">
        <v>27</v>
      </c>
      <c r="H61" s="7"/>
    </row>
    <row r="62" spans="1:8" x14ac:dyDescent="0.2">
      <c r="A62" s="7">
        <v>25</v>
      </c>
      <c r="B62" s="8" t="s">
        <v>115</v>
      </c>
      <c r="C62" s="7" t="s">
        <v>88</v>
      </c>
      <c r="D62" s="7" t="s">
        <v>464</v>
      </c>
      <c r="E62" s="7" t="s">
        <v>465</v>
      </c>
      <c r="F62" s="7" t="s">
        <v>466</v>
      </c>
      <c r="G62" s="7">
        <v>28</v>
      </c>
      <c r="H62" s="7"/>
    </row>
    <row r="63" spans="1:8" x14ac:dyDescent="0.2">
      <c r="A63" s="7">
        <v>25</v>
      </c>
      <c r="B63" s="8" t="s">
        <v>115</v>
      </c>
      <c r="C63" s="7" t="s">
        <v>88</v>
      </c>
      <c r="D63" s="7" t="s">
        <v>510</v>
      </c>
      <c r="E63" s="7" t="s">
        <v>511</v>
      </c>
      <c r="F63" s="7" t="s">
        <v>512</v>
      </c>
      <c r="G63" s="7">
        <v>28</v>
      </c>
      <c r="H63" s="7"/>
    </row>
    <row r="64" spans="1:8" x14ac:dyDescent="0.2">
      <c r="A64" s="7">
        <v>26</v>
      </c>
      <c r="B64" s="8" t="s">
        <v>117</v>
      </c>
      <c r="C64" s="7" t="s">
        <v>88</v>
      </c>
      <c r="D64" s="7" t="s">
        <v>493</v>
      </c>
      <c r="E64" s="7" t="s">
        <v>494</v>
      </c>
      <c r="F64" s="7" t="s">
        <v>495</v>
      </c>
      <c r="G64" s="7">
        <v>29</v>
      </c>
      <c r="H64" s="7"/>
    </row>
    <row r="65" spans="1:8" x14ac:dyDescent="0.2">
      <c r="A65" s="7">
        <v>26</v>
      </c>
      <c r="B65" s="8" t="s">
        <v>117</v>
      </c>
      <c r="C65" s="7" t="s">
        <v>88</v>
      </c>
      <c r="D65" s="7" t="s">
        <v>522</v>
      </c>
      <c r="E65" s="7" t="s">
        <v>523</v>
      </c>
      <c r="F65" s="7" t="s">
        <v>524</v>
      </c>
      <c r="G65" s="7">
        <v>29</v>
      </c>
      <c r="H65" s="7"/>
    </row>
    <row r="66" spans="1:8" x14ac:dyDescent="0.2">
      <c r="A66" s="7">
        <v>27</v>
      </c>
      <c r="B66" s="8" t="s">
        <v>121</v>
      </c>
      <c r="C66" s="7" t="s">
        <v>88</v>
      </c>
      <c r="D66" s="7" t="s">
        <v>525</v>
      </c>
      <c r="E66" s="7" t="s">
        <v>526</v>
      </c>
      <c r="F66" s="7" t="s">
        <v>286</v>
      </c>
      <c r="G66" s="7">
        <v>30</v>
      </c>
      <c r="H66" s="7"/>
    </row>
    <row r="67" spans="1:8" x14ac:dyDescent="0.2">
      <c r="A67" s="7">
        <v>28</v>
      </c>
      <c r="B67" s="8" t="s">
        <v>123</v>
      </c>
      <c r="C67" s="7" t="s">
        <v>88</v>
      </c>
      <c r="D67" s="7" t="s">
        <v>525</v>
      </c>
      <c r="E67" s="7" t="s">
        <v>526</v>
      </c>
      <c r="F67" s="7" t="s">
        <v>286</v>
      </c>
      <c r="G67" s="7">
        <v>31</v>
      </c>
      <c r="H67" s="7"/>
    </row>
    <row r="68" spans="1:8" x14ac:dyDescent="0.2">
      <c r="A68" s="7">
        <v>29</v>
      </c>
      <c r="B68" s="8" t="s">
        <v>125</v>
      </c>
      <c r="C68" s="7" t="s">
        <v>132</v>
      </c>
      <c r="D68" s="7" t="s">
        <v>527</v>
      </c>
      <c r="E68" s="7" t="s">
        <v>528</v>
      </c>
      <c r="F68" s="7" t="s">
        <v>248</v>
      </c>
      <c r="G68" s="7">
        <v>32</v>
      </c>
      <c r="H68" s="7"/>
    </row>
    <row r="69" spans="1:8" ht="28" x14ac:dyDescent="0.2">
      <c r="A69" s="7">
        <v>30</v>
      </c>
      <c r="B69" s="8" t="s">
        <v>129</v>
      </c>
      <c r="C69" s="7" t="s">
        <v>132</v>
      </c>
      <c r="D69" s="7" t="s">
        <v>529</v>
      </c>
      <c r="E69" s="7" t="s">
        <v>530</v>
      </c>
      <c r="F69" s="7" t="s">
        <v>300</v>
      </c>
      <c r="G69" s="7">
        <v>33</v>
      </c>
      <c r="H69" s="7"/>
    </row>
    <row r="70" spans="1:8" x14ac:dyDescent="0.2">
      <c r="A70" s="7">
        <v>29</v>
      </c>
      <c r="B70" s="8" t="s">
        <v>125</v>
      </c>
      <c r="C70" s="7" t="s">
        <v>132</v>
      </c>
      <c r="D70" s="7" t="s">
        <v>484</v>
      </c>
      <c r="E70" s="7" t="s">
        <v>485</v>
      </c>
      <c r="F70" s="7" t="s">
        <v>274</v>
      </c>
      <c r="G70" s="7">
        <v>34</v>
      </c>
      <c r="H70" s="7"/>
    </row>
    <row r="71" spans="1:8" x14ac:dyDescent="0.2">
      <c r="A71" s="7">
        <v>29</v>
      </c>
      <c r="B71" s="8" t="s">
        <v>125</v>
      </c>
      <c r="C71" s="7" t="s">
        <v>132</v>
      </c>
      <c r="D71" s="7" t="s">
        <v>531</v>
      </c>
      <c r="E71" s="7" t="s">
        <v>532</v>
      </c>
      <c r="F71" s="7" t="s">
        <v>244</v>
      </c>
      <c r="G71" s="7">
        <v>35</v>
      </c>
      <c r="H71" s="7"/>
    </row>
    <row r="72" spans="1:8" x14ac:dyDescent="0.2">
      <c r="A72" s="7">
        <v>29</v>
      </c>
      <c r="B72" s="8" t="s">
        <v>125</v>
      </c>
      <c r="C72" s="7" t="s">
        <v>132</v>
      </c>
      <c r="D72" s="7" t="s">
        <v>533</v>
      </c>
      <c r="E72" s="7" t="s">
        <v>534</v>
      </c>
      <c r="F72" s="7" t="s">
        <v>256</v>
      </c>
      <c r="G72" s="7">
        <v>36</v>
      </c>
      <c r="H72" s="7"/>
    </row>
    <row r="73" spans="1:8" x14ac:dyDescent="0.2">
      <c r="A73" s="7">
        <v>29</v>
      </c>
      <c r="B73" s="8" t="s">
        <v>125</v>
      </c>
      <c r="C73" s="7" t="s">
        <v>132</v>
      </c>
      <c r="D73" s="7" t="s">
        <v>535</v>
      </c>
      <c r="E73" s="7" t="s">
        <v>536</v>
      </c>
      <c r="F73" s="7" t="s">
        <v>267</v>
      </c>
      <c r="G73" s="7">
        <v>37</v>
      </c>
      <c r="H73" s="7"/>
    </row>
    <row r="74" spans="1:8" x14ac:dyDescent="0.2">
      <c r="A74" s="7">
        <v>29</v>
      </c>
      <c r="B74" s="8" t="s">
        <v>125</v>
      </c>
      <c r="C74" s="7" t="s">
        <v>132</v>
      </c>
      <c r="D74" s="7" t="s">
        <v>537</v>
      </c>
      <c r="E74" s="7" t="s">
        <v>538</v>
      </c>
      <c r="F74" s="7" t="s">
        <v>352</v>
      </c>
      <c r="G74" s="7">
        <v>38</v>
      </c>
      <c r="H74" s="7"/>
    </row>
    <row r="75" spans="1:8" x14ac:dyDescent="0.2">
      <c r="A75" s="7">
        <v>29</v>
      </c>
      <c r="B75" s="8" t="s">
        <v>125</v>
      </c>
      <c r="C75" s="7" t="s">
        <v>132</v>
      </c>
      <c r="D75" s="7" t="s">
        <v>539</v>
      </c>
      <c r="E75" s="7" t="s">
        <v>540</v>
      </c>
      <c r="F75" s="7" t="s">
        <v>323</v>
      </c>
      <c r="G75" s="7">
        <v>39</v>
      </c>
      <c r="H75" s="7"/>
    </row>
    <row r="76" spans="1:8" x14ac:dyDescent="0.2">
      <c r="A76" s="7">
        <v>18</v>
      </c>
      <c r="B76" s="8" t="s">
        <v>99</v>
      </c>
      <c r="C76" s="7" t="s">
        <v>132</v>
      </c>
      <c r="D76" s="7" t="s">
        <v>484</v>
      </c>
      <c r="E76" s="7" t="s">
        <v>485</v>
      </c>
      <c r="F76" s="7" t="s">
        <v>274</v>
      </c>
      <c r="G76" s="7">
        <v>40</v>
      </c>
      <c r="H76" s="7"/>
    </row>
    <row r="77" spans="1:8" x14ac:dyDescent="0.2">
      <c r="A77" s="7">
        <v>18</v>
      </c>
      <c r="B77" s="8" t="s">
        <v>99</v>
      </c>
      <c r="C77" s="7" t="s">
        <v>132</v>
      </c>
      <c r="D77" s="7" t="s">
        <v>535</v>
      </c>
      <c r="E77" s="7" t="s">
        <v>536</v>
      </c>
      <c r="F77" s="7" t="s">
        <v>267</v>
      </c>
      <c r="G77" s="7">
        <v>41</v>
      </c>
      <c r="H77" s="7"/>
    </row>
    <row r="78" spans="1:8" x14ac:dyDescent="0.2">
      <c r="A78" s="7">
        <v>31</v>
      </c>
      <c r="B78" s="8" t="s">
        <v>133</v>
      </c>
      <c r="C78" s="7" t="s">
        <v>132</v>
      </c>
      <c r="D78" s="7" t="s">
        <v>535</v>
      </c>
      <c r="E78" s="7" t="s">
        <v>536</v>
      </c>
      <c r="F78" s="7" t="s">
        <v>267</v>
      </c>
      <c r="G78" s="7">
        <v>41</v>
      </c>
      <c r="H78" s="7"/>
    </row>
    <row r="79" spans="1:8" x14ac:dyDescent="0.2">
      <c r="A79" s="7">
        <v>22</v>
      </c>
      <c r="B79" s="8" t="s">
        <v>109</v>
      </c>
      <c r="C79" s="7" t="s">
        <v>132</v>
      </c>
      <c r="D79" s="7" t="s">
        <v>535</v>
      </c>
      <c r="E79" s="7" t="s">
        <v>536</v>
      </c>
      <c r="F79" s="7" t="s">
        <v>267</v>
      </c>
      <c r="G79" s="7">
        <v>41</v>
      </c>
      <c r="H79" s="7"/>
    </row>
    <row r="80" spans="1:8" x14ac:dyDescent="0.2">
      <c r="A80" s="7">
        <v>32</v>
      </c>
      <c r="B80" s="8" t="s">
        <v>135</v>
      </c>
      <c r="C80" s="7" t="s">
        <v>132</v>
      </c>
      <c r="D80" s="7" t="s">
        <v>535</v>
      </c>
      <c r="E80" s="7" t="s">
        <v>536</v>
      </c>
      <c r="F80" s="7" t="s">
        <v>267</v>
      </c>
      <c r="G80" s="7">
        <v>41</v>
      </c>
      <c r="H80" s="7"/>
    </row>
    <row r="81" spans="1:8" x14ac:dyDescent="0.2">
      <c r="A81" s="7">
        <v>2</v>
      </c>
      <c r="B81" s="8" t="s">
        <v>52</v>
      </c>
      <c r="C81" s="7" t="s">
        <v>132</v>
      </c>
      <c r="D81" s="7" t="s">
        <v>535</v>
      </c>
      <c r="E81" s="7" t="s">
        <v>536</v>
      </c>
      <c r="F81" s="7" t="s">
        <v>267</v>
      </c>
      <c r="G81" s="7">
        <v>41</v>
      </c>
      <c r="H81" s="7"/>
    </row>
    <row r="82" spans="1:8" x14ac:dyDescent="0.2">
      <c r="A82" s="7">
        <v>2</v>
      </c>
      <c r="B82" s="8" t="s">
        <v>52</v>
      </c>
      <c r="C82" s="7" t="s">
        <v>132</v>
      </c>
      <c r="D82" s="7" t="s">
        <v>541</v>
      </c>
      <c r="E82" s="7" t="s">
        <v>542</v>
      </c>
      <c r="F82" s="7" t="s">
        <v>263</v>
      </c>
      <c r="G82" s="7">
        <v>42</v>
      </c>
      <c r="H82" s="7"/>
    </row>
    <row r="83" spans="1:8" x14ac:dyDescent="0.2">
      <c r="A83" s="7">
        <v>33</v>
      </c>
      <c r="B83" s="8" t="s">
        <v>138</v>
      </c>
      <c r="C83" s="7" t="s">
        <v>132</v>
      </c>
      <c r="D83" s="7" t="s">
        <v>543</v>
      </c>
      <c r="E83" s="7" t="s">
        <v>544</v>
      </c>
      <c r="F83" s="7" t="s">
        <v>282</v>
      </c>
      <c r="G83" s="7">
        <v>43</v>
      </c>
      <c r="H83" s="7"/>
    </row>
    <row r="84" spans="1:8" x14ac:dyDescent="0.2">
      <c r="A84" s="7">
        <v>2</v>
      </c>
      <c r="B84" s="8" t="s">
        <v>52</v>
      </c>
      <c r="C84" s="7" t="s">
        <v>132</v>
      </c>
      <c r="D84" s="7" t="s">
        <v>545</v>
      </c>
      <c r="E84" s="7" t="s">
        <v>546</v>
      </c>
      <c r="F84" s="7" t="s">
        <v>336</v>
      </c>
      <c r="G84" s="7">
        <v>44</v>
      </c>
      <c r="H84" s="7"/>
    </row>
    <row r="85" spans="1:8" x14ac:dyDescent="0.2">
      <c r="A85" s="7">
        <v>10</v>
      </c>
      <c r="B85" s="8" t="s">
        <v>79</v>
      </c>
      <c r="C85" s="7" t="s">
        <v>132</v>
      </c>
      <c r="D85" s="7" t="s">
        <v>547</v>
      </c>
      <c r="E85" s="7" t="s">
        <v>548</v>
      </c>
      <c r="F85" s="7" t="s">
        <v>289</v>
      </c>
      <c r="G85" s="7">
        <v>45</v>
      </c>
      <c r="H85" s="7"/>
    </row>
    <row r="86" spans="1:8" x14ac:dyDescent="0.2">
      <c r="A86" s="7">
        <v>17</v>
      </c>
      <c r="B86" s="8" t="s">
        <v>96</v>
      </c>
      <c r="C86" s="7" t="s">
        <v>141</v>
      </c>
      <c r="D86" s="7" t="s">
        <v>479</v>
      </c>
      <c r="E86" s="7" t="s">
        <v>480</v>
      </c>
      <c r="F86" s="7" t="s">
        <v>336</v>
      </c>
      <c r="G86" s="7">
        <v>46</v>
      </c>
      <c r="H86" s="7"/>
    </row>
    <row r="87" spans="1:8" x14ac:dyDescent="0.2">
      <c r="A87" s="7">
        <v>34</v>
      </c>
      <c r="B87" s="8" t="s">
        <v>140</v>
      </c>
      <c r="C87" s="7" t="s">
        <v>141</v>
      </c>
      <c r="D87" s="7" t="s">
        <v>462</v>
      </c>
      <c r="E87" s="7" t="s">
        <v>463</v>
      </c>
      <c r="F87" s="7" t="s">
        <v>240</v>
      </c>
      <c r="G87" s="7">
        <v>47</v>
      </c>
      <c r="H87" s="7"/>
    </row>
    <row r="88" spans="1:8" x14ac:dyDescent="0.2">
      <c r="A88" s="7">
        <v>35</v>
      </c>
      <c r="B88" s="8" t="s">
        <v>142</v>
      </c>
      <c r="C88" s="7" t="s">
        <v>141</v>
      </c>
      <c r="D88" s="7" t="s">
        <v>537</v>
      </c>
      <c r="E88" s="7" t="s">
        <v>538</v>
      </c>
      <c r="F88" s="7" t="s">
        <v>244</v>
      </c>
      <c r="G88" s="7">
        <v>48</v>
      </c>
      <c r="H88" s="7"/>
    </row>
    <row r="89" spans="1:8" x14ac:dyDescent="0.2">
      <c r="A89" s="7">
        <v>10</v>
      </c>
      <c r="B89" s="8" t="s">
        <v>79</v>
      </c>
      <c r="C89" s="7" t="s">
        <v>141</v>
      </c>
      <c r="D89" s="7" t="s">
        <v>549</v>
      </c>
      <c r="E89" s="7" t="s">
        <v>550</v>
      </c>
      <c r="F89" s="7" t="s">
        <v>224</v>
      </c>
      <c r="G89" s="7">
        <v>49</v>
      </c>
      <c r="H89" s="7"/>
    </row>
    <row r="90" spans="1:8" x14ac:dyDescent="0.2">
      <c r="A90" s="7">
        <v>10</v>
      </c>
      <c r="B90" s="8" t="s">
        <v>79</v>
      </c>
      <c r="C90" s="7" t="s">
        <v>141</v>
      </c>
      <c r="D90" s="7" t="s">
        <v>551</v>
      </c>
      <c r="E90" s="7" t="s">
        <v>552</v>
      </c>
      <c r="F90" s="7" t="s">
        <v>260</v>
      </c>
      <c r="G90" s="7">
        <v>49</v>
      </c>
      <c r="H90" s="7"/>
    </row>
    <row r="91" spans="1:8" x14ac:dyDescent="0.2">
      <c r="A91" s="7">
        <v>10</v>
      </c>
      <c r="B91" s="8" t="s">
        <v>79</v>
      </c>
      <c r="C91" s="7" t="s">
        <v>141</v>
      </c>
      <c r="D91" s="7" t="s">
        <v>553</v>
      </c>
      <c r="E91" s="7" t="s">
        <v>548</v>
      </c>
      <c r="F91" s="7" t="s">
        <v>554</v>
      </c>
      <c r="G91" s="7">
        <v>49</v>
      </c>
      <c r="H91" s="7"/>
    </row>
    <row r="92" spans="1:8" x14ac:dyDescent="0.2">
      <c r="A92" s="7">
        <v>10</v>
      </c>
      <c r="B92" s="8" t="s">
        <v>79</v>
      </c>
      <c r="C92" s="7" t="s">
        <v>141</v>
      </c>
      <c r="D92" s="7" t="s">
        <v>555</v>
      </c>
      <c r="E92" s="7" t="s">
        <v>556</v>
      </c>
      <c r="F92" s="7" t="s">
        <v>557</v>
      </c>
      <c r="G92" s="7">
        <v>49</v>
      </c>
      <c r="H92" s="7"/>
    </row>
    <row r="93" spans="1:8" x14ac:dyDescent="0.2">
      <c r="A93" s="7">
        <v>18</v>
      </c>
      <c r="B93" s="8" t="s">
        <v>99</v>
      </c>
      <c r="C93" s="7" t="s">
        <v>141</v>
      </c>
      <c r="D93" s="7" t="s">
        <v>484</v>
      </c>
      <c r="E93" s="7" t="s">
        <v>485</v>
      </c>
      <c r="F93" s="7" t="s">
        <v>236</v>
      </c>
      <c r="G93" s="7">
        <v>50</v>
      </c>
      <c r="H93" s="7"/>
    </row>
    <row r="94" spans="1:8" x14ac:dyDescent="0.2">
      <c r="A94" s="7">
        <v>18</v>
      </c>
      <c r="B94" s="8" t="s">
        <v>99</v>
      </c>
      <c r="C94" s="7" t="s">
        <v>141</v>
      </c>
      <c r="D94" s="7" t="s">
        <v>558</v>
      </c>
      <c r="E94" s="7" t="s">
        <v>559</v>
      </c>
      <c r="F94" s="7" t="s">
        <v>560</v>
      </c>
      <c r="G94" s="7">
        <v>50</v>
      </c>
      <c r="H94" s="7"/>
    </row>
    <row r="95" spans="1:8" x14ac:dyDescent="0.2">
      <c r="A95" s="7">
        <v>32</v>
      </c>
      <c r="B95" s="8" t="s">
        <v>135</v>
      </c>
      <c r="C95" s="7" t="s">
        <v>141</v>
      </c>
      <c r="D95" s="7" t="s">
        <v>561</v>
      </c>
      <c r="E95" s="7" t="s">
        <v>562</v>
      </c>
      <c r="F95" s="7" t="s">
        <v>319</v>
      </c>
      <c r="G95" s="7">
        <v>51</v>
      </c>
      <c r="H95" s="7"/>
    </row>
    <row r="96" spans="1:8" x14ac:dyDescent="0.2">
      <c r="A96" s="7">
        <v>24</v>
      </c>
      <c r="B96" s="8" t="s">
        <v>113</v>
      </c>
      <c r="C96" s="7" t="s">
        <v>141</v>
      </c>
      <c r="D96" s="7" t="s">
        <v>563</v>
      </c>
      <c r="E96" s="7" t="s">
        <v>564</v>
      </c>
      <c r="F96" s="7" t="s">
        <v>286</v>
      </c>
      <c r="G96" s="7">
        <v>52</v>
      </c>
      <c r="H96" s="7"/>
    </row>
    <row r="97" spans="1:8" x14ac:dyDescent="0.2">
      <c r="A97" s="7">
        <v>3</v>
      </c>
      <c r="B97" s="8" t="s">
        <v>56</v>
      </c>
      <c r="C97" s="7" t="s">
        <v>141</v>
      </c>
      <c r="D97" s="7" t="s">
        <v>565</v>
      </c>
      <c r="E97" s="7" t="s">
        <v>566</v>
      </c>
      <c r="F97" s="7" t="s">
        <v>315</v>
      </c>
      <c r="G97" s="7">
        <v>53</v>
      </c>
      <c r="H97" s="7"/>
    </row>
    <row r="98" spans="1:8" x14ac:dyDescent="0.2">
      <c r="A98" s="7">
        <v>36</v>
      </c>
      <c r="B98" s="8" t="s">
        <v>144</v>
      </c>
      <c r="C98" s="7" t="s">
        <v>141</v>
      </c>
      <c r="D98" s="7" t="s">
        <v>563</v>
      </c>
      <c r="E98" s="7" t="s">
        <v>564</v>
      </c>
      <c r="F98" s="7" t="s">
        <v>286</v>
      </c>
      <c r="G98" s="7">
        <v>54</v>
      </c>
      <c r="H98" s="7"/>
    </row>
    <row r="99" spans="1:8" x14ac:dyDescent="0.2">
      <c r="A99" s="7">
        <v>37</v>
      </c>
      <c r="B99" s="8" t="s">
        <v>146</v>
      </c>
      <c r="C99" s="7" t="s">
        <v>141</v>
      </c>
      <c r="D99" s="7" t="s">
        <v>567</v>
      </c>
      <c r="E99" s="7" t="s">
        <v>568</v>
      </c>
      <c r="F99" s="7" t="s">
        <v>569</v>
      </c>
      <c r="G99" s="7">
        <v>55</v>
      </c>
      <c r="H99" s="7"/>
    </row>
    <row r="100" spans="1:8" x14ac:dyDescent="0.2">
      <c r="A100" s="7">
        <v>2</v>
      </c>
      <c r="B100" s="8" t="s">
        <v>52</v>
      </c>
      <c r="C100" s="7" t="s">
        <v>393</v>
      </c>
      <c r="D100" s="7" t="s">
        <v>570</v>
      </c>
      <c r="E100" s="7" t="s">
        <v>571</v>
      </c>
      <c r="F100" s="7" t="s">
        <v>572</v>
      </c>
      <c r="G100" s="7">
        <v>56</v>
      </c>
      <c r="H100" s="7"/>
    </row>
    <row r="101" spans="1:8" x14ac:dyDescent="0.2">
      <c r="A101" s="7">
        <v>3</v>
      </c>
      <c r="B101" s="8" t="s">
        <v>56</v>
      </c>
      <c r="C101" s="7" t="s">
        <v>152</v>
      </c>
      <c r="D101" s="7" t="s">
        <v>573</v>
      </c>
      <c r="E101" s="7" t="s">
        <v>574</v>
      </c>
      <c r="F101" s="7" t="s">
        <v>260</v>
      </c>
      <c r="G101" s="7">
        <v>57</v>
      </c>
      <c r="H101" s="7"/>
    </row>
    <row r="102" spans="1:8" x14ac:dyDescent="0.2">
      <c r="A102" s="7">
        <v>3</v>
      </c>
      <c r="B102" s="8" t="s">
        <v>56</v>
      </c>
      <c r="C102" s="7" t="s">
        <v>152</v>
      </c>
      <c r="D102" s="7" t="s">
        <v>575</v>
      </c>
      <c r="E102" s="7" t="s">
        <v>576</v>
      </c>
      <c r="F102" s="7" t="s">
        <v>263</v>
      </c>
      <c r="G102" s="7">
        <v>57</v>
      </c>
      <c r="H102" s="7"/>
    </row>
    <row r="103" spans="1:8" x14ac:dyDescent="0.2">
      <c r="A103" s="7">
        <v>3</v>
      </c>
      <c r="B103" s="8" t="s">
        <v>56</v>
      </c>
      <c r="C103" s="7" t="s">
        <v>152</v>
      </c>
      <c r="D103" s="7" t="s">
        <v>577</v>
      </c>
      <c r="E103" s="7" t="s">
        <v>578</v>
      </c>
      <c r="F103" s="7" t="s">
        <v>304</v>
      </c>
      <c r="G103" s="7">
        <v>57</v>
      </c>
      <c r="H103" s="7"/>
    </row>
    <row r="104" spans="1:8" x14ac:dyDescent="0.2">
      <c r="A104" s="7">
        <v>16</v>
      </c>
      <c r="B104" s="8" t="s">
        <v>93</v>
      </c>
      <c r="C104" s="7" t="s">
        <v>152</v>
      </c>
      <c r="D104" s="7" t="s">
        <v>573</v>
      </c>
      <c r="E104" s="7" t="s">
        <v>574</v>
      </c>
      <c r="F104" s="7" t="s">
        <v>260</v>
      </c>
      <c r="G104" s="7">
        <v>57</v>
      </c>
      <c r="H104" s="7"/>
    </row>
    <row r="105" spans="1:8" x14ac:dyDescent="0.2">
      <c r="A105" s="7">
        <v>16</v>
      </c>
      <c r="B105" s="8" t="s">
        <v>93</v>
      </c>
      <c r="C105" s="7" t="s">
        <v>152</v>
      </c>
      <c r="D105" s="7" t="s">
        <v>575</v>
      </c>
      <c r="E105" s="7" t="s">
        <v>576</v>
      </c>
      <c r="F105" s="7" t="s">
        <v>263</v>
      </c>
      <c r="G105" s="7">
        <v>57</v>
      </c>
      <c r="H105" s="7"/>
    </row>
    <row r="106" spans="1:8" x14ac:dyDescent="0.2">
      <c r="A106" s="7">
        <v>16</v>
      </c>
      <c r="B106" s="8" t="s">
        <v>93</v>
      </c>
      <c r="C106" s="7" t="s">
        <v>152</v>
      </c>
      <c r="D106" s="7" t="s">
        <v>577</v>
      </c>
      <c r="E106" s="7" t="s">
        <v>578</v>
      </c>
      <c r="F106" s="7" t="s">
        <v>304</v>
      </c>
      <c r="G106" s="7">
        <v>57</v>
      </c>
      <c r="H106" s="7"/>
    </row>
    <row r="107" spans="1:8" x14ac:dyDescent="0.2">
      <c r="A107" s="7">
        <v>38</v>
      </c>
      <c r="B107" s="8" t="s">
        <v>149</v>
      </c>
      <c r="C107" s="7" t="s">
        <v>152</v>
      </c>
      <c r="D107" s="7" t="s">
        <v>573</v>
      </c>
      <c r="E107" s="7" t="s">
        <v>574</v>
      </c>
      <c r="F107" s="7" t="s">
        <v>260</v>
      </c>
      <c r="G107" s="7">
        <v>57</v>
      </c>
      <c r="H107" s="7"/>
    </row>
    <row r="108" spans="1:8" x14ac:dyDescent="0.2">
      <c r="A108" s="7">
        <v>38</v>
      </c>
      <c r="B108" s="8" t="s">
        <v>149</v>
      </c>
      <c r="C108" s="7" t="s">
        <v>152</v>
      </c>
      <c r="D108" s="7" t="s">
        <v>575</v>
      </c>
      <c r="E108" s="7" t="s">
        <v>576</v>
      </c>
      <c r="F108" s="7" t="s">
        <v>263</v>
      </c>
      <c r="G108" s="7">
        <v>57</v>
      </c>
      <c r="H108" s="7"/>
    </row>
    <row r="109" spans="1:8" x14ac:dyDescent="0.2">
      <c r="A109" s="7">
        <v>38</v>
      </c>
      <c r="B109" s="8" t="s">
        <v>149</v>
      </c>
      <c r="C109" s="7" t="s">
        <v>152</v>
      </c>
      <c r="D109" s="7" t="s">
        <v>577</v>
      </c>
      <c r="E109" s="7" t="s">
        <v>578</v>
      </c>
      <c r="F109" s="7" t="s">
        <v>304</v>
      </c>
      <c r="G109" s="7">
        <v>57</v>
      </c>
      <c r="H109" s="7"/>
    </row>
    <row r="110" spans="1:8" x14ac:dyDescent="0.2">
      <c r="A110" s="7">
        <v>39</v>
      </c>
      <c r="B110" s="8" t="s">
        <v>153</v>
      </c>
      <c r="C110" s="7" t="s">
        <v>152</v>
      </c>
      <c r="D110" s="7" t="s">
        <v>573</v>
      </c>
      <c r="E110" s="7" t="s">
        <v>574</v>
      </c>
      <c r="F110" s="7" t="s">
        <v>260</v>
      </c>
      <c r="G110" s="7">
        <v>57</v>
      </c>
      <c r="H110" s="7"/>
    </row>
    <row r="111" spans="1:8" x14ac:dyDescent="0.2">
      <c r="A111" s="7">
        <v>39</v>
      </c>
      <c r="B111" s="8" t="s">
        <v>153</v>
      </c>
      <c r="C111" s="7" t="s">
        <v>152</v>
      </c>
      <c r="D111" s="7" t="s">
        <v>575</v>
      </c>
      <c r="E111" s="7" t="s">
        <v>576</v>
      </c>
      <c r="F111" s="7" t="s">
        <v>263</v>
      </c>
      <c r="G111" s="7">
        <v>57</v>
      </c>
      <c r="H111" s="7"/>
    </row>
    <row r="112" spans="1:8" x14ac:dyDescent="0.2">
      <c r="A112" s="7">
        <v>39</v>
      </c>
      <c r="B112" s="8" t="s">
        <v>153</v>
      </c>
      <c r="C112" s="7" t="s">
        <v>152</v>
      </c>
      <c r="D112" s="7" t="s">
        <v>577</v>
      </c>
      <c r="E112" s="7" t="s">
        <v>578</v>
      </c>
      <c r="F112" s="7" t="s">
        <v>304</v>
      </c>
      <c r="G112" s="7">
        <v>57</v>
      </c>
      <c r="H112" s="7"/>
    </row>
    <row r="113" spans="1:8" x14ac:dyDescent="0.2">
      <c r="A113" s="7">
        <v>29</v>
      </c>
      <c r="B113" s="8" t="s">
        <v>125</v>
      </c>
      <c r="C113" s="7" t="s">
        <v>152</v>
      </c>
      <c r="D113" s="7" t="s">
        <v>579</v>
      </c>
      <c r="E113" s="7" t="s">
        <v>551</v>
      </c>
      <c r="F113" s="7" t="s">
        <v>336</v>
      </c>
      <c r="G113" s="7">
        <v>60</v>
      </c>
      <c r="H113" s="7"/>
    </row>
    <row r="114" spans="1:8" x14ac:dyDescent="0.2">
      <c r="A114" s="7">
        <v>10</v>
      </c>
      <c r="B114" s="8" t="s">
        <v>79</v>
      </c>
      <c r="C114" s="7" t="s">
        <v>152</v>
      </c>
      <c r="D114" s="7" t="s">
        <v>579</v>
      </c>
      <c r="E114" s="7" t="s">
        <v>551</v>
      </c>
      <c r="F114" s="7" t="s">
        <v>336</v>
      </c>
      <c r="G114" s="7">
        <v>60</v>
      </c>
      <c r="H114" s="7"/>
    </row>
    <row r="115" spans="1:8" x14ac:dyDescent="0.2">
      <c r="A115" s="7">
        <v>40</v>
      </c>
      <c r="B115" s="8" t="s">
        <v>155</v>
      </c>
      <c r="C115" s="7" t="s">
        <v>152</v>
      </c>
      <c r="D115" s="7" t="s">
        <v>579</v>
      </c>
      <c r="E115" s="7" t="s">
        <v>551</v>
      </c>
      <c r="F115" s="7" t="s">
        <v>336</v>
      </c>
      <c r="G115" s="7">
        <v>60</v>
      </c>
      <c r="H115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7" customWidth="1"/>
    <col min="4" max="4" width="16" customWidth="1"/>
    <col min="5" max="5" width="40" customWidth="1"/>
    <col min="6" max="6" width="55" customWidth="1"/>
    <col min="7" max="7" width="38" customWidth="1"/>
    <col min="8" max="8" width="18" customWidth="1"/>
    <col min="9" max="9" width="26" customWidth="1"/>
  </cols>
  <sheetData>
    <row r="1" spans="1:9" ht="30" customHeight="1" x14ac:dyDescent="0.2">
      <c r="A1" s="6" t="s">
        <v>158</v>
      </c>
      <c r="B1" s="6" t="s">
        <v>160</v>
      </c>
      <c r="C1" s="6" t="s">
        <v>161</v>
      </c>
      <c r="D1" s="6" t="s">
        <v>580</v>
      </c>
      <c r="E1" s="6" t="s">
        <v>581</v>
      </c>
      <c r="F1" s="6" t="s">
        <v>582</v>
      </c>
      <c r="G1" s="6" t="s">
        <v>583</v>
      </c>
      <c r="H1" s="6" t="s">
        <v>584</v>
      </c>
      <c r="I1" s="6" t="s">
        <v>420</v>
      </c>
    </row>
    <row r="2" spans="1:9" ht="28" x14ac:dyDescent="0.2">
      <c r="A2" s="7">
        <v>1</v>
      </c>
      <c r="B2" s="7" t="s">
        <v>51</v>
      </c>
      <c r="C2" s="7">
        <v>2</v>
      </c>
      <c r="D2" s="7" t="s">
        <v>165</v>
      </c>
      <c r="E2" s="8" t="s">
        <v>45</v>
      </c>
      <c r="F2" s="8" t="s">
        <v>585</v>
      </c>
      <c r="G2" s="8" t="s">
        <v>586</v>
      </c>
      <c r="H2" s="7" t="s">
        <v>423</v>
      </c>
      <c r="I2" s="7" t="s">
        <v>424</v>
      </c>
    </row>
    <row r="3" spans="1:9" ht="28" x14ac:dyDescent="0.2">
      <c r="A3" s="7">
        <v>1</v>
      </c>
      <c r="B3" s="7" t="s">
        <v>51</v>
      </c>
      <c r="C3" s="7">
        <v>2</v>
      </c>
      <c r="D3" s="7" t="s">
        <v>165</v>
      </c>
      <c r="E3" s="8" t="s">
        <v>45</v>
      </c>
      <c r="F3" s="8" t="s">
        <v>585</v>
      </c>
      <c r="G3" s="8" t="s">
        <v>586</v>
      </c>
      <c r="H3" s="7" t="s">
        <v>425</v>
      </c>
      <c r="I3" s="7" t="s">
        <v>426</v>
      </c>
    </row>
    <row r="4" spans="1:9" ht="28" x14ac:dyDescent="0.2">
      <c r="A4" s="7">
        <v>1</v>
      </c>
      <c r="B4" s="7" t="s">
        <v>51</v>
      </c>
      <c r="C4" s="7">
        <v>2</v>
      </c>
      <c r="D4" s="7" t="s">
        <v>165</v>
      </c>
      <c r="E4" s="8" t="s">
        <v>45</v>
      </c>
      <c r="F4" s="8" t="s">
        <v>585</v>
      </c>
      <c r="G4" s="8" t="s">
        <v>586</v>
      </c>
      <c r="H4" s="7" t="s">
        <v>427</v>
      </c>
      <c r="I4" s="7" t="s">
        <v>428</v>
      </c>
    </row>
    <row r="5" spans="1:9" ht="28" x14ac:dyDescent="0.2">
      <c r="A5" s="7">
        <v>1</v>
      </c>
      <c r="B5" s="7" t="s">
        <v>51</v>
      </c>
      <c r="C5" s="7">
        <v>2</v>
      </c>
      <c r="D5" s="7" t="s">
        <v>165</v>
      </c>
      <c r="E5" s="8" t="s">
        <v>45</v>
      </c>
      <c r="F5" s="8" t="s">
        <v>585</v>
      </c>
      <c r="G5" s="8" t="s">
        <v>586</v>
      </c>
      <c r="H5" s="7" t="s">
        <v>429</v>
      </c>
      <c r="I5" s="7" t="s">
        <v>430</v>
      </c>
    </row>
    <row r="6" spans="1:9" ht="28" x14ac:dyDescent="0.2">
      <c r="A6" s="7">
        <v>1</v>
      </c>
      <c r="B6" s="7" t="s">
        <v>51</v>
      </c>
      <c r="C6" s="7">
        <v>2</v>
      </c>
      <c r="D6" s="7" t="s">
        <v>165</v>
      </c>
      <c r="E6" s="8" t="s">
        <v>45</v>
      </c>
      <c r="F6" s="8" t="s">
        <v>585</v>
      </c>
      <c r="G6" s="8" t="s">
        <v>586</v>
      </c>
      <c r="H6" s="7" t="s">
        <v>431</v>
      </c>
      <c r="I6" s="7" t="s">
        <v>432</v>
      </c>
    </row>
    <row r="7" spans="1:9" ht="28" x14ac:dyDescent="0.2">
      <c r="A7" s="7">
        <v>2</v>
      </c>
      <c r="B7" s="7" t="s">
        <v>51</v>
      </c>
      <c r="C7" s="7">
        <v>2</v>
      </c>
      <c r="D7" s="7" t="s">
        <v>169</v>
      </c>
      <c r="E7" s="8" t="s">
        <v>52</v>
      </c>
      <c r="F7" s="8" t="s">
        <v>587</v>
      </c>
      <c r="G7" s="8" t="s">
        <v>588</v>
      </c>
      <c r="H7" s="7" t="s">
        <v>423</v>
      </c>
      <c r="I7" s="7" t="s">
        <v>424</v>
      </c>
    </row>
    <row r="8" spans="1:9" ht="28" x14ac:dyDescent="0.2">
      <c r="A8" s="7">
        <v>2</v>
      </c>
      <c r="B8" s="7" t="s">
        <v>51</v>
      </c>
      <c r="C8" s="7">
        <v>2</v>
      </c>
      <c r="D8" s="7" t="s">
        <v>169</v>
      </c>
      <c r="E8" s="8" t="s">
        <v>52</v>
      </c>
      <c r="F8" s="8" t="s">
        <v>587</v>
      </c>
      <c r="G8" s="8" t="s">
        <v>588</v>
      </c>
      <c r="H8" s="7" t="s">
        <v>425</v>
      </c>
      <c r="I8" s="7" t="s">
        <v>426</v>
      </c>
    </row>
    <row r="9" spans="1:9" ht="28" x14ac:dyDescent="0.2">
      <c r="A9" s="7">
        <v>2</v>
      </c>
      <c r="B9" s="7" t="s">
        <v>51</v>
      </c>
      <c r="C9" s="7">
        <v>2</v>
      </c>
      <c r="D9" s="7" t="s">
        <v>169</v>
      </c>
      <c r="E9" s="8" t="s">
        <v>52</v>
      </c>
      <c r="F9" s="8" t="s">
        <v>587</v>
      </c>
      <c r="G9" s="8" t="s">
        <v>588</v>
      </c>
      <c r="H9" s="7" t="s">
        <v>427</v>
      </c>
      <c r="I9" s="7" t="s">
        <v>428</v>
      </c>
    </row>
    <row r="10" spans="1:9" ht="28" x14ac:dyDescent="0.2">
      <c r="A10" s="7">
        <v>2</v>
      </c>
      <c r="B10" s="7" t="s">
        <v>51</v>
      </c>
      <c r="C10" s="7">
        <v>2</v>
      </c>
      <c r="D10" s="7" t="s">
        <v>169</v>
      </c>
      <c r="E10" s="8" t="s">
        <v>52</v>
      </c>
      <c r="F10" s="8" t="s">
        <v>587</v>
      </c>
      <c r="G10" s="8" t="s">
        <v>588</v>
      </c>
      <c r="H10" s="7" t="s">
        <v>429</v>
      </c>
      <c r="I10" s="7" t="s">
        <v>430</v>
      </c>
    </row>
    <row r="11" spans="1:9" ht="28" x14ac:dyDescent="0.2">
      <c r="A11" s="7">
        <v>2</v>
      </c>
      <c r="B11" s="7" t="s">
        <v>51</v>
      </c>
      <c r="C11" s="7">
        <v>2</v>
      </c>
      <c r="D11" s="7" t="s">
        <v>169</v>
      </c>
      <c r="E11" s="8" t="s">
        <v>52</v>
      </c>
      <c r="F11" s="8" t="s">
        <v>587</v>
      </c>
      <c r="G11" s="8" t="s">
        <v>588</v>
      </c>
      <c r="H11" s="7" t="s">
        <v>431</v>
      </c>
      <c r="I11" s="7" t="s">
        <v>432</v>
      </c>
    </row>
    <row r="12" spans="1:9" ht="28" x14ac:dyDescent="0.2">
      <c r="A12" s="7">
        <v>3</v>
      </c>
      <c r="B12" s="7" t="s">
        <v>51</v>
      </c>
      <c r="C12" s="7">
        <v>2</v>
      </c>
      <c r="D12" s="7" t="s">
        <v>589</v>
      </c>
      <c r="E12" s="8" t="s">
        <v>590</v>
      </c>
      <c r="F12" s="8" t="s">
        <v>591</v>
      </c>
      <c r="G12" s="8" t="s">
        <v>592</v>
      </c>
      <c r="H12" s="7" t="s">
        <v>433</v>
      </c>
      <c r="I12" s="7" t="s">
        <v>434</v>
      </c>
    </row>
    <row r="13" spans="1:9" ht="28" x14ac:dyDescent="0.2">
      <c r="A13" s="7">
        <v>3</v>
      </c>
      <c r="B13" s="7" t="s">
        <v>51</v>
      </c>
      <c r="C13" s="7">
        <v>2</v>
      </c>
      <c r="D13" s="7" t="s">
        <v>589</v>
      </c>
      <c r="E13" s="8" t="s">
        <v>590</v>
      </c>
      <c r="F13" s="8" t="s">
        <v>591</v>
      </c>
      <c r="G13" s="8" t="s">
        <v>592</v>
      </c>
      <c r="H13" s="7" t="s">
        <v>435</v>
      </c>
      <c r="I13" s="7" t="s">
        <v>436</v>
      </c>
    </row>
    <row r="14" spans="1:9" ht="28" x14ac:dyDescent="0.2">
      <c r="A14" s="7">
        <v>3</v>
      </c>
      <c r="B14" s="7" t="s">
        <v>51</v>
      </c>
      <c r="C14" s="7">
        <v>2</v>
      </c>
      <c r="D14" s="7" t="s">
        <v>589</v>
      </c>
      <c r="E14" s="8" t="s">
        <v>590</v>
      </c>
      <c r="F14" s="8" t="s">
        <v>591</v>
      </c>
      <c r="G14" s="8" t="s">
        <v>592</v>
      </c>
      <c r="H14" s="7" t="s">
        <v>437</v>
      </c>
      <c r="I14" s="7" t="s">
        <v>438</v>
      </c>
    </row>
    <row r="15" spans="1:9" ht="28" x14ac:dyDescent="0.2">
      <c r="A15" s="7">
        <v>4</v>
      </c>
      <c r="B15" s="7" t="s">
        <v>51</v>
      </c>
      <c r="C15" s="7">
        <v>2</v>
      </c>
      <c r="D15" s="7" t="s">
        <v>593</v>
      </c>
      <c r="E15" s="8" t="s">
        <v>594</v>
      </c>
      <c r="F15" s="8" t="s">
        <v>595</v>
      </c>
      <c r="G15" s="8" t="s">
        <v>596</v>
      </c>
      <c r="H15" s="7" t="s">
        <v>439</v>
      </c>
      <c r="I15" s="7" t="s">
        <v>440</v>
      </c>
    </row>
    <row r="16" spans="1:9" ht="28" x14ac:dyDescent="0.2">
      <c r="A16" s="7">
        <v>5</v>
      </c>
      <c r="B16" s="7" t="s">
        <v>51</v>
      </c>
      <c r="C16" s="7">
        <v>2</v>
      </c>
      <c r="D16" s="7" t="s">
        <v>193</v>
      </c>
      <c r="E16" s="8" t="s">
        <v>70</v>
      </c>
      <c r="F16" s="8" t="s">
        <v>597</v>
      </c>
      <c r="G16" s="8" t="s">
        <v>598</v>
      </c>
      <c r="H16" s="7" t="s">
        <v>441</v>
      </c>
      <c r="I16" s="7" t="s">
        <v>442</v>
      </c>
    </row>
    <row r="17" spans="1:9" ht="28" x14ac:dyDescent="0.2">
      <c r="A17" s="7">
        <v>6</v>
      </c>
      <c r="B17" s="7" t="s">
        <v>51</v>
      </c>
      <c r="C17" s="7">
        <v>2</v>
      </c>
      <c r="D17" s="7" t="s">
        <v>197</v>
      </c>
      <c r="E17" s="8" t="s">
        <v>73</v>
      </c>
      <c r="F17" s="8" t="s">
        <v>599</v>
      </c>
      <c r="G17" s="8" t="s">
        <v>600</v>
      </c>
      <c r="H17" s="7" t="s">
        <v>443</v>
      </c>
      <c r="I17" s="7" t="s">
        <v>444</v>
      </c>
    </row>
    <row r="18" spans="1:9" x14ac:dyDescent="0.2">
      <c r="A18" s="7">
        <v>7</v>
      </c>
      <c r="B18" s="7" t="s">
        <v>51</v>
      </c>
      <c r="C18" s="7">
        <v>2</v>
      </c>
      <c r="D18" s="7" t="s">
        <v>201</v>
      </c>
      <c r="E18" s="8" t="s">
        <v>77</v>
      </c>
      <c r="F18" s="8" t="s">
        <v>601</v>
      </c>
      <c r="G18" s="8" t="s">
        <v>78</v>
      </c>
      <c r="H18" s="7" t="s">
        <v>445</v>
      </c>
      <c r="I18" s="7" t="s">
        <v>446</v>
      </c>
    </row>
    <row r="19" spans="1:9" x14ac:dyDescent="0.2">
      <c r="A19" s="7">
        <v>7</v>
      </c>
      <c r="B19" s="7" t="s">
        <v>51</v>
      </c>
      <c r="C19" s="7">
        <v>2</v>
      </c>
      <c r="D19" s="7" t="s">
        <v>201</v>
      </c>
      <c r="E19" s="8" t="s">
        <v>77</v>
      </c>
      <c r="F19" s="8" t="s">
        <v>601</v>
      </c>
      <c r="G19" s="8" t="s">
        <v>78</v>
      </c>
      <c r="H19" s="7" t="s">
        <v>447</v>
      </c>
      <c r="I19" s="7" t="s">
        <v>448</v>
      </c>
    </row>
    <row r="20" spans="1:9" x14ac:dyDescent="0.2">
      <c r="A20" s="7">
        <v>8</v>
      </c>
      <c r="B20" s="7" t="s">
        <v>51</v>
      </c>
      <c r="C20" s="7">
        <v>3</v>
      </c>
      <c r="D20" s="7" t="s">
        <v>205</v>
      </c>
      <c r="E20" s="8" t="s">
        <v>79</v>
      </c>
      <c r="F20" s="8" t="s">
        <v>199</v>
      </c>
      <c r="G20" s="8" t="s">
        <v>80</v>
      </c>
      <c r="H20" s="7" t="s">
        <v>449</v>
      </c>
      <c r="I20" s="7" t="s">
        <v>450</v>
      </c>
    </row>
    <row r="21" spans="1:9" x14ac:dyDescent="0.2">
      <c r="A21" s="7">
        <v>9</v>
      </c>
      <c r="B21" s="7" t="s">
        <v>51</v>
      </c>
      <c r="C21" s="7">
        <v>3</v>
      </c>
      <c r="D21" s="7" t="s">
        <v>209</v>
      </c>
      <c r="E21" s="8" t="s">
        <v>82</v>
      </c>
      <c r="F21" s="8" t="s">
        <v>203</v>
      </c>
      <c r="G21" s="8" t="s">
        <v>602</v>
      </c>
      <c r="H21" s="7" t="s">
        <v>451</v>
      </c>
      <c r="I21" s="7" t="s">
        <v>452</v>
      </c>
    </row>
    <row r="22" spans="1:9" ht="28" x14ac:dyDescent="0.2">
      <c r="A22" s="7">
        <v>10</v>
      </c>
      <c r="B22" s="7" t="s">
        <v>51</v>
      </c>
      <c r="C22" s="7">
        <v>3</v>
      </c>
      <c r="D22" s="7" t="s">
        <v>213</v>
      </c>
      <c r="E22" s="8" t="s">
        <v>85</v>
      </c>
      <c r="F22" s="8" t="s">
        <v>603</v>
      </c>
      <c r="G22" s="8" t="s">
        <v>69</v>
      </c>
      <c r="H22" s="7" t="s">
        <v>453</v>
      </c>
      <c r="I22" s="7" t="s">
        <v>454</v>
      </c>
    </row>
    <row r="23" spans="1:9" x14ac:dyDescent="0.2">
      <c r="A23" s="7">
        <v>11</v>
      </c>
      <c r="B23" s="7" t="s">
        <v>51</v>
      </c>
      <c r="C23" s="7">
        <v>3</v>
      </c>
      <c r="D23" s="7" t="s">
        <v>185</v>
      </c>
      <c r="E23" s="8" t="s">
        <v>64</v>
      </c>
      <c r="F23" s="8" t="s">
        <v>604</v>
      </c>
      <c r="G23" s="8" t="s">
        <v>65</v>
      </c>
      <c r="H23" s="7" t="s">
        <v>455</v>
      </c>
      <c r="I23" s="7" t="s">
        <v>456</v>
      </c>
    </row>
    <row r="24" spans="1:9" x14ac:dyDescent="0.2">
      <c r="A24" s="7">
        <v>11</v>
      </c>
      <c r="B24" s="7" t="s">
        <v>51</v>
      </c>
      <c r="C24" s="7">
        <v>3</v>
      </c>
      <c r="D24" s="7" t="s">
        <v>185</v>
      </c>
      <c r="E24" s="8" t="s">
        <v>64</v>
      </c>
      <c r="F24" s="8" t="s">
        <v>604</v>
      </c>
      <c r="G24" s="8" t="s">
        <v>65</v>
      </c>
      <c r="H24" s="7" t="s">
        <v>458</v>
      </c>
      <c r="I24" s="7" t="s">
        <v>459</v>
      </c>
    </row>
    <row r="25" spans="1:9" x14ac:dyDescent="0.2">
      <c r="A25" s="7">
        <v>12</v>
      </c>
      <c r="B25" s="7" t="s">
        <v>51</v>
      </c>
      <c r="C25" s="7">
        <v>3</v>
      </c>
      <c r="D25" s="7" t="s">
        <v>205</v>
      </c>
      <c r="E25" s="8" t="s">
        <v>79</v>
      </c>
      <c r="F25" s="8" t="s">
        <v>605</v>
      </c>
      <c r="G25" s="8" t="s">
        <v>606</v>
      </c>
      <c r="H25" s="7" t="s">
        <v>449</v>
      </c>
      <c r="I25" s="7" t="s">
        <v>450</v>
      </c>
    </row>
    <row r="26" spans="1:9" ht="28" x14ac:dyDescent="0.2">
      <c r="A26" s="7">
        <v>13</v>
      </c>
      <c r="B26" s="7" t="s">
        <v>88</v>
      </c>
      <c r="C26" s="7">
        <v>1</v>
      </c>
      <c r="D26" s="7" t="s">
        <v>217</v>
      </c>
      <c r="E26" s="8" t="s">
        <v>86</v>
      </c>
      <c r="F26" s="8" t="s">
        <v>607</v>
      </c>
      <c r="G26" s="8" t="s">
        <v>608</v>
      </c>
      <c r="H26" s="7" t="s">
        <v>462</v>
      </c>
      <c r="I26" s="7" t="s">
        <v>463</v>
      </c>
    </row>
    <row r="27" spans="1:9" ht="28" x14ac:dyDescent="0.2">
      <c r="A27" s="7">
        <v>13</v>
      </c>
      <c r="B27" s="7" t="s">
        <v>88</v>
      </c>
      <c r="C27" s="7">
        <v>1</v>
      </c>
      <c r="D27" s="7" t="s">
        <v>217</v>
      </c>
      <c r="E27" s="8" t="s">
        <v>86</v>
      </c>
      <c r="F27" s="8" t="s">
        <v>607</v>
      </c>
      <c r="G27" s="8" t="s">
        <v>608</v>
      </c>
      <c r="H27" s="7" t="s">
        <v>464</v>
      </c>
      <c r="I27" s="7" t="s">
        <v>465</v>
      </c>
    </row>
    <row r="28" spans="1:9" ht="28" x14ac:dyDescent="0.2">
      <c r="A28" s="7">
        <v>14</v>
      </c>
      <c r="B28" s="7" t="s">
        <v>88</v>
      </c>
      <c r="C28" s="7">
        <v>1</v>
      </c>
      <c r="D28" s="7" t="s">
        <v>221</v>
      </c>
      <c r="E28" s="8" t="s">
        <v>89</v>
      </c>
      <c r="F28" s="8" t="s">
        <v>609</v>
      </c>
      <c r="G28" s="8" t="s">
        <v>610</v>
      </c>
      <c r="H28" s="7" t="s">
        <v>467</v>
      </c>
      <c r="I28" s="7" t="s">
        <v>468</v>
      </c>
    </row>
    <row r="29" spans="1:9" ht="28" x14ac:dyDescent="0.2">
      <c r="A29" s="7">
        <v>15</v>
      </c>
      <c r="B29" s="7" t="s">
        <v>88</v>
      </c>
      <c r="C29" s="7">
        <v>1</v>
      </c>
      <c r="D29" s="7" t="s">
        <v>224</v>
      </c>
      <c r="E29" s="8" t="s">
        <v>91</v>
      </c>
      <c r="F29" s="8" t="s">
        <v>611</v>
      </c>
      <c r="G29" s="8" t="s">
        <v>612</v>
      </c>
      <c r="H29" s="7" t="s">
        <v>470</v>
      </c>
      <c r="I29" s="7" t="s">
        <v>471</v>
      </c>
    </row>
    <row r="30" spans="1:9" ht="42" x14ac:dyDescent="0.2">
      <c r="A30" s="7">
        <v>16</v>
      </c>
      <c r="B30" s="7" t="s">
        <v>88</v>
      </c>
      <c r="C30" s="7">
        <v>1</v>
      </c>
      <c r="D30" s="7" t="s">
        <v>228</v>
      </c>
      <c r="E30" s="8" t="s">
        <v>93</v>
      </c>
      <c r="F30" s="8" t="s">
        <v>613</v>
      </c>
      <c r="G30" s="8" t="s">
        <v>94</v>
      </c>
      <c r="H30" s="7" t="s">
        <v>473</v>
      </c>
      <c r="I30" s="7" t="s">
        <v>474</v>
      </c>
    </row>
    <row r="31" spans="1:9" ht="42" x14ac:dyDescent="0.2">
      <c r="A31" s="7">
        <v>16</v>
      </c>
      <c r="B31" s="7" t="s">
        <v>88</v>
      </c>
      <c r="C31" s="7">
        <v>1</v>
      </c>
      <c r="D31" s="7" t="s">
        <v>228</v>
      </c>
      <c r="E31" s="8" t="s">
        <v>93</v>
      </c>
      <c r="F31" s="8" t="s">
        <v>613</v>
      </c>
      <c r="G31" s="8" t="s">
        <v>94</v>
      </c>
      <c r="H31" s="7" t="s">
        <v>476</v>
      </c>
      <c r="I31" s="7" t="s">
        <v>477</v>
      </c>
    </row>
    <row r="32" spans="1:9" ht="42" x14ac:dyDescent="0.2">
      <c r="A32" s="7">
        <v>17</v>
      </c>
      <c r="B32" s="7" t="s">
        <v>88</v>
      </c>
      <c r="C32" s="7">
        <v>1</v>
      </c>
      <c r="D32" s="7" t="s">
        <v>232</v>
      </c>
      <c r="E32" s="8" t="s">
        <v>96</v>
      </c>
      <c r="F32" s="8" t="s">
        <v>614</v>
      </c>
      <c r="G32" s="8" t="s">
        <v>97</v>
      </c>
      <c r="H32" s="7" t="s">
        <v>479</v>
      </c>
      <c r="I32" s="7" t="s">
        <v>480</v>
      </c>
    </row>
    <row r="33" spans="1:9" ht="42" x14ac:dyDescent="0.2">
      <c r="A33" s="7">
        <v>18</v>
      </c>
      <c r="B33" s="7" t="s">
        <v>88</v>
      </c>
      <c r="C33" s="7">
        <v>1</v>
      </c>
      <c r="D33" s="7" t="s">
        <v>185</v>
      </c>
      <c r="E33" s="8" t="s">
        <v>64</v>
      </c>
      <c r="F33" s="8" t="s">
        <v>615</v>
      </c>
      <c r="G33" s="8" t="s">
        <v>65</v>
      </c>
      <c r="H33" s="7" t="s">
        <v>482</v>
      </c>
      <c r="I33" s="7" t="s">
        <v>483</v>
      </c>
    </row>
    <row r="34" spans="1:9" ht="42" x14ac:dyDescent="0.2">
      <c r="A34" s="7">
        <v>19</v>
      </c>
      <c r="B34" s="7" t="s">
        <v>88</v>
      </c>
      <c r="C34" s="7">
        <v>1</v>
      </c>
      <c r="D34" s="7" t="s">
        <v>236</v>
      </c>
      <c r="E34" s="8" t="s">
        <v>99</v>
      </c>
      <c r="F34" s="8" t="s">
        <v>616</v>
      </c>
      <c r="G34" s="8" t="s">
        <v>617</v>
      </c>
      <c r="H34" s="7" t="s">
        <v>464</v>
      </c>
      <c r="I34" s="7" t="s">
        <v>465</v>
      </c>
    </row>
    <row r="35" spans="1:9" ht="42" x14ac:dyDescent="0.2">
      <c r="A35" s="7">
        <v>19</v>
      </c>
      <c r="B35" s="7" t="s">
        <v>88</v>
      </c>
      <c r="C35" s="7">
        <v>1</v>
      </c>
      <c r="D35" s="7" t="s">
        <v>236</v>
      </c>
      <c r="E35" s="8" t="s">
        <v>99</v>
      </c>
      <c r="F35" s="8" t="s">
        <v>616</v>
      </c>
      <c r="G35" s="8" t="s">
        <v>617</v>
      </c>
      <c r="H35" s="7" t="s">
        <v>467</v>
      </c>
      <c r="I35" s="7" t="s">
        <v>468</v>
      </c>
    </row>
    <row r="36" spans="1:9" ht="42" x14ac:dyDescent="0.2">
      <c r="A36" s="7">
        <v>19</v>
      </c>
      <c r="B36" s="7" t="s">
        <v>88</v>
      </c>
      <c r="C36" s="7">
        <v>1</v>
      </c>
      <c r="D36" s="7" t="s">
        <v>236</v>
      </c>
      <c r="E36" s="8" t="s">
        <v>99</v>
      </c>
      <c r="F36" s="8" t="s">
        <v>616</v>
      </c>
      <c r="G36" s="8" t="s">
        <v>617</v>
      </c>
      <c r="H36" s="7" t="s">
        <v>484</v>
      </c>
      <c r="I36" s="7" t="s">
        <v>485</v>
      </c>
    </row>
    <row r="37" spans="1:9" ht="42" x14ac:dyDescent="0.2">
      <c r="A37" s="7">
        <v>19</v>
      </c>
      <c r="B37" s="7" t="s">
        <v>88</v>
      </c>
      <c r="C37" s="7">
        <v>1</v>
      </c>
      <c r="D37" s="7" t="s">
        <v>236</v>
      </c>
      <c r="E37" s="8" t="s">
        <v>99</v>
      </c>
      <c r="F37" s="8" t="s">
        <v>616</v>
      </c>
      <c r="G37" s="8" t="s">
        <v>617</v>
      </c>
      <c r="H37" s="7" t="s">
        <v>487</v>
      </c>
      <c r="I37" s="7" t="s">
        <v>488</v>
      </c>
    </row>
    <row r="38" spans="1:9" ht="42" x14ac:dyDescent="0.2">
      <c r="A38" s="7">
        <v>19</v>
      </c>
      <c r="B38" s="7" t="s">
        <v>88</v>
      </c>
      <c r="C38" s="7">
        <v>1</v>
      </c>
      <c r="D38" s="7" t="s">
        <v>236</v>
      </c>
      <c r="E38" s="8" t="s">
        <v>99</v>
      </c>
      <c r="F38" s="8" t="s">
        <v>616</v>
      </c>
      <c r="G38" s="8" t="s">
        <v>617</v>
      </c>
      <c r="H38" s="7" t="s">
        <v>490</v>
      </c>
      <c r="I38" s="7" t="s">
        <v>491</v>
      </c>
    </row>
    <row r="39" spans="1:9" ht="42" x14ac:dyDescent="0.2">
      <c r="A39" s="7">
        <v>19</v>
      </c>
      <c r="B39" s="7" t="s">
        <v>88</v>
      </c>
      <c r="C39" s="7">
        <v>1</v>
      </c>
      <c r="D39" s="7" t="s">
        <v>236</v>
      </c>
      <c r="E39" s="8" t="s">
        <v>99</v>
      </c>
      <c r="F39" s="8" t="s">
        <v>616</v>
      </c>
      <c r="G39" s="8" t="s">
        <v>617</v>
      </c>
      <c r="H39" s="7" t="s">
        <v>493</v>
      </c>
      <c r="I39" s="7" t="s">
        <v>494</v>
      </c>
    </row>
    <row r="40" spans="1:9" ht="28" x14ac:dyDescent="0.2">
      <c r="A40" s="7">
        <v>20</v>
      </c>
      <c r="B40" s="7" t="s">
        <v>88</v>
      </c>
      <c r="C40" s="7">
        <v>1</v>
      </c>
      <c r="D40" s="7" t="s">
        <v>209</v>
      </c>
      <c r="E40" s="8" t="s">
        <v>82</v>
      </c>
      <c r="F40" s="8" t="s">
        <v>618</v>
      </c>
      <c r="G40" s="8" t="s">
        <v>619</v>
      </c>
      <c r="H40" s="7" t="s">
        <v>470</v>
      </c>
      <c r="I40" s="7" t="s">
        <v>471</v>
      </c>
    </row>
    <row r="41" spans="1:9" ht="28" x14ac:dyDescent="0.2">
      <c r="A41" s="7">
        <v>20</v>
      </c>
      <c r="B41" s="7" t="s">
        <v>88</v>
      </c>
      <c r="C41" s="7">
        <v>1</v>
      </c>
      <c r="D41" s="7" t="s">
        <v>209</v>
      </c>
      <c r="E41" s="8" t="s">
        <v>82</v>
      </c>
      <c r="F41" s="8" t="s">
        <v>618</v>
      </c>
      <c r="G41" s="8" t="s">
        <v>619</v>
      </c>
      <c r="H41" s="7" t="s">
        <v>496</v>
      </c>
      <c r="I41" s="7" t="s">
        <v>497</v>
      </c>
    </row>
    <row r="42" spans="1:9" ht="28" x14ac:dyDescent="0.2">
      <c r="A42" s="7">
        <v>21</v>
      </c>
      <c r="B42" s="7" t="s">
        <v>88</v>
      </c>
      <c r="C42" s="7">
        <v>1</v>
      </c>
      <c r="D42" s="7" t="s">
        <v>240</v>
      </c>
      <c r="E42" s="8" t="s">
        <v>102</v>
      </c>
      <c r="F42" s="8" t="s">
        <v>620</v>
      </c>
      <c r="G42" s="8" t="s">
        <v>103</v>
      </c>
      <c r="H42" s="7" t="s">
        <v>499</v>
      </c>
      <c r="I42" s="7" t="s">
        <v>500</v>
      </c>
    </row>
    <row r="43" spans="1:9" ht="28" x14ac:dyDescent="0.2">
      <c r="A43" s="7">
        <v>22</v>
      </c>
      <c r="B43" s="7" t="s">
        <v>88</v>
      </c>
      <c r="C43" s="7">
        <v>1</v>
      </c>
      <c r="D43" s="7" t="s">
        <v>244</v>
      </c>
      <c r="E43" s="8" t="s">
        <v>104</v>
      </c>
      <c r="F43" s="8" t="s">
        <v>621</v>
      </c>
      <c r="G43" s="8" t="s">
        <v>622</v>
      </c>
      <c r="H43" s="7" t="s">
        <v>502</v>
      </c>
      <c r="I43" s="7" t="s">
        <v>503</v>
      </c>
    </row>
    <row r="44" spans="1:9" ht="56" x14ac:dyDescent="0.2">
      <c r="A44" s="7">
        <v>23</v>
      </c>
      <c r="B44" s="7" t="s">
        <v>88</v>
      </c>
      <c r="C44" s="7">
        <v>1</v>
      </c>
      <c r="D44" s="7" t="s">
        <v>248</v>
      </c>
      <c r="E44" s="8" t="s">
        <v>107</v>
      </c>
      <c r="F44" s="8" t="s">
        <v>623</v>
      </c>
      <c r="G44" s="8" t="s">
        <v>108</v>
      </c>
      <c r="H44" s="7" t="s">
        <v>505</v>
      </c>
      <c r="I44" s="7" t="s">
        <v>506</v>
      </c>
    </row>
    <row r="45" spans="1:9" ht="56" x14ac:dyDescent="0.2">
      <c r="A45" s="7">
        <v>23</v>
      </c>
      <c r="B45" s="7" t="s">
        <v>88</v>
      </c>
      <c r="C45" s="7">
        <v>1</v>
      </c>
      <c r="D45" s="7" t="s">
        <v>248</v>
      </c>
      <c r="E45" s="8" t="s">
        <v>107</v>
      </c>
      <c r="F45" s="8" t="s">
        <v>623</v>
      </c>
      <c r="G45" s="8" t="s">
        <v>108</v>
      </c>
      <c r="H45" s="7" t="s">
        <v>507</v>
      </c>
      <c r="I45" s="7" t="s">
        <v>508</v>
      </c>
    </row>
    <row r="46" spans="1:9" ht="56" x14ac:dyDescent="0.2">
      <c r="A46" s="7">
        <v>23</v>
      </c>
      <c r="B46" s="7" t="s">
        <v>88</v>
      </c>
      <c r="C46" s="7">
        <v>1</v>
      </c>
      <c r="D46" s="7" t="s">
        <v>248</v>
      </c>
      <c r="E46" s="8" t="s">
        <v>107</v>
      </c>
      <c r="F46" s="8" t="s">
        <v>623</v>
      </c>
      <c r="G46" s="8" t="s">
        <v>108</v>
      </c>
      <c r="H46" s="7" t="s">
        <v>510</v>
      </c>
      <c r="I46" s="7" t="s">
        <v>511</v>
      </c>
    </row>
    <row r="47" spans="1:9" ht="56" x14ac:dyDescent="0.2">
      <c r="A47" s="7">
        <v>23</v>
      </c>
      <c r="B47" s="7" t="s">
        <v>88</v>
      </c>
      <c r="C47" s="7">
        <v>1</v>
      </c>
      <c r="D47" s="7" t="s">
        <v>248</v>
      </c>
      <c r="E47" s="8" t="s">
        <v>107</v>
      </c>
      <c r="F47" s="8" t="s">
        <v>623</v>
      </c>
      <c r="G47" s="8" t="s">
        <v>108</v>
      </c>
      <c r="H47" s="7" t="s">
        <v>513</v>
      </c>
      <c r="I47" s="7" t="s">
        <v>514</v>
      </c>
    </row>
    <row r="48" spans="1:9" ht="56" x14ac:dyDescent="0.2">
      <c r="A48" s="7">
        <v>23</v>
      </c>
      <c r="B48" s="7" t="s">
        <v>88</v>
      </c>
      <c r="C48" s="7">
        <v>1</v>
      </c>
      <c r="D48" s="7" t="s">
        <v>248</v>
      </c>
      <c r="E48" s="8" t="s">
        <v>107</v>
      </c>
      <c r="F48" s="8" t="s">
        <v>623</v>
      </c>
      <c r="G48" s="8" t="s">
        <v>108</v>
      </c>
      <c r="H48" s="7" t="s">
        <v>516</v>
      </c>
      <c r="I48" s="7" t="s">
        <v>517</v>
      </c>
    </row>
    <row r="49" spans="1:9" ht="56" x14ac:dyDescent="0.2">
      <c r="A49" s="7">
        <v>23</v>
      </c>
      <c r="B49" s="7" t="s">
        <v>88</v>
      </c>
      <c r="C49" s="7">
        <v>1</v>
      </c>
      <c r="D49" s="7" t="s">
        <v>248</v>
      </c>
      <c r="E49" s="8" t="s">
        <v>107</v>
      </c>
      <c r="F49" s="8" t="s">
        <v>623</v>
      </c>
      <c r="G49" s="8" t="s">
        <v>108</v>
      </c>
      <c r="H49" s="7" t="s">
        <v>519</v>
      </c>
      <c r="I49" s="7" t="s">
        <v>520</v>
      </c>
    </row>
    <row r="50" spans="1:9" ht="28" x14ac:dyDescent="0.2">
      <c r="A50" s="7">
        <v>24</v>
      </c>
      <c r="B50" s="7" t="s">
        <v>88</v>
      </c>
      <c r="C50" s="7">
        <v>1</v>
      </c>
      <c r="D50" s="7" t="s">
        <v>252</v>
      </c>
      <c r="E50" s="8" t="s">
        <v>109</v>
      </c>
      <c r="F50" s="8" t="s">
        <v>607</v>
      </c>
      <c r="G50" s="8" t="s">
        <v>624</v>
      </c>
      <c r="H50" s="7" t="s">
        <v>464</v>
      </c>
      <c r="I50" s="7" t="s">
        <v>465</v>
      </c>
    </row>
    <row r="51" spans="1:9" ht="28" x14ac:dyDescent="0.2">
      <c r="A51" s="7">
        <v>25</v>
      </c>
      <c r="B51" s="7" t="s">
        <v>88</v>
      </c>
      <c r="C51" s="7">
        <v>1</v>
      </c>
      <c r="D51" s="7" t="s">
        <v>256</v>
      </c>
      <c r="E51" s="8" t="s">
        <v>111</v>
      </c>
      <c r="F51" s="8" t="s">
        <v>625</v>
      </c>
      <c r="G51" s="8" t="s">
        <v>626</v>
      </c>
      <c r="H51" s="7" t="s">
        <v>464</v>
      </c>
      <c r="I51" s="7" t="s">
        <v>465</v>
      </c>
    </row>
    <row r="52" spans="1:9" ht="28" x14ac:dyDescent="0.2">
      <c r="A52" s="7">
        <v>25</v>
      </c>
      <c r="B52" s="7" t="s">
        <v>88</v>
      </c>
      <c r="C52" s="7">
        <v>1</v>
      </c>
      <c r="D52" s="7" t="s">
        <v>256</v>
      </c>
      <c r="E52" s="8" t="s">
        <v>111</v>
      </c>
      <c r="F52" s="8" t="s">
        <v>625</v>
      </c>
      <c r="G52" s="8" t="s">
        <v>626</v>
      </c>
      <c r="H52" s="7" t="s">
        <v>493</v>
      </c>
      <c r="I52" s="7" t="s">
        <v>494</v>
      </c>
    </row>
    <row r="53" spans="1:9" ht="28" x14ac:dyDescent="0.2">
      <c r="A53" s="7">
        <v>25</v>
      </c>
      <c r="B53" s="7" t="s">
        <v>88</v>
      </c>
      <c r="C53" s="7">
        <v>1</v>
      </c>
      <c r="D53" s="7" t="s">
        <v>256</v>
      </c>
      <c r="E53" s="8" t="s">
        <v>111</v>
      </c>
      <c r="F53" s="8" t="s">
        <v>625</v>
      </c>
      <c r="G53" s="8" t="s">
        <v>626</v>
      </c>
      <c r="H53" s="7" t="s">
        <v>510</v>
      </c>
      <c r="I53" s="7" t="s">
        <v>511</v>
      </c>
    </row>
    <row r="54" spans="1:9" ht="28" x14ac:dyDescent="0.2">
      <c r="A54" s="7">
        <v>26</v>
      </c>
      <c r="B54" s="7" t="s">
        <v>88</v>
      </c>
      <c r="C54" s="7">
        <v>1</v>
      </c>
      <c r="D54" s="7" t="s">
        <v>189</v>
      </c>
      <c r="E54" s="8" t="s">
        <v>68</v>
      </c>
      <c r="F54" s="8" t="s">
        <v>627</v>
      </c>
      <c r="G54" s="8" t="s">
        <v>69</v>
      </c>
      <c r="H54" s="7" t="s">
        <v>493</v>
      </c>
      <c r="I54" s="7" t="s">
        <v>494</v>
      </c>
    </row>
    <row r="55" spans="1:9" ht="28" x14ac:dyDescent="0.2">
      <c r="A55" s="7">
        <v>27</v>
      </c>
      <c r="B55" s="7" t="s">
        <v>88</v>
      </c>
      <c r="C55" s="7">
        <v>1</v>
      </c>
      <c r="D55" s="7" t="s">
        <v>260</v>
      </c>
      <c r="E55" s="8" t="s">
        <v>113</v>
      </c>
      <c r="F55" s="8" t="s">
        <v>609</v>
      </c>
      <c r="G55" s="8" t="s">
        <v>628</v>
      </c>
      <c r="H55" s="7" t="s">
        <v>464</v>
      </c>
      <c r="I55" s="7" t="s">
        <v>465</v>
      </c>
    </row>
    <row r="56" spans="1:9" ht="28" x14ac:dyDescent="0.2">
      <c r="A56" s="7">
        <v>27</v>
      </c>
      <c r="B56" s="7" t="s">
        <v>88</v>
      </c>
      <c r="C56" s="7">
        <v>1</v>
      </c>
      <c r="D56" s="7" t="s">
        <v>260</v>
      </c>
      <c r="E56" s="8" t="s">
        <v>113</v>
      </c>
      <c r="F56" s="8" t="s">
        <v>609</v>
      </c>
      <c r="G56" s="8" t="s">
        <v>628</v>
      </c>
      <c r="H56" s="7" t="s">
        <v>493</v>
      </c>
      <c r="I56" s="7" t="s">
        <v>494</v>
      </c>
    </row>
    <row r="57" spans="1:9" ht="28" x14ac:dyDescent="0.2">
      <c r="A57" s="7">
        <v>27</v>
      </c>
      <c r="B57" s="7" t="s">
        <v>88</v>
      </c>
      <c r="C57" s="7">
        <v>1</v>
      </c>
      <c r="D57" s="7" t="s">
        <v>260</v>
      </c>
      <c r="E57" s="8" t="s">
        <v>113</v>
      </c>
      <c r="F57" s="8" t="s">
        <v>609</v>
      </c>
      <c r="G57" s="8" t="s">
        <v>628</v>
      </c>
      <c r="H57" s="7" t="s">
        <v>510</v>
      </c>
      <c r="I57" s="7" t="s">
        <v>511</v>
      </c>
    </row>
    <row r="58" spans="1:9" ht="28" x14ac:dyDescent="0.2">
      <c r="A58" s="7">
        <v>28</v>
      </c>
      <c r="B58" s="7" t="s">
        <v>88</v>
      </c>
      <c r="C58" s="7">
        <v>1</v>
      </c>
      <c r="D58" s="7" t="s">
        <v>263</v>
      </c>
      <c r="E58" s="8" t="s">
        <v>115</v>
      </c>
      <c r="F58" s="8" t="s">
        <v>629</v>
      </c>
      <c r="G58" s="8" t="s">
        <v>630</v>
      </c>
      <c r="H58" s="7" t="s">
        <v>464</v>
      </c>
      <c r="I58" s="7" t="s">
        <v>465</v>
      </c>
    </row>
    <row r="59" spans="1:9" ht="28" x14ac:dyDescent="0.2">
      <c r="A59" s="7">
        <v>28</v>
      </c>
      <c r="B59" s="7" t="s">
        <v>88</v>
      </c>
      <c r="C59" s="7">
        <v>1</v>
      </c>
      <c r="D59" s="7" t="s">
        <v>263</v>
      </c>
      <c r="E59" s="8" t="s">
        <v>115</v>
      </c>
      <c r="F59" s="8" t="s">
        <v>629</v>
      </c>
      <c r="G59" s="8" t="s">
        <v>630</v>
      </c>
      <c r="H59" s="7" t="s">
        <v>510</v>
      </c>
      <c r="I59" s="7" t="s">
        <v>511</v>
      </c>
    </row>
    <row r="60" spans="1:9" ht="42" x14ac:dyDescent="0.2">
      <c r="A60" s="7">
        <v>29</v>
      </c>
      <c r="B60" s="7" t="s">
        <v>88</v>
      </c>
      <c r="C60" s="7">
        <v>1</v>
      </c>
      <c r="D60" s="7" t="s">
        <v>267</v>
      </c>
      <c r="E60" s="8" t="s">
        <v>117</v>
      </c>
      <c r="F60" s="8" t="s">
        <v>631</v>
      </c>
      <c r="G60" s="8" t="s">
        <v>632</v>
      </c>
      <c r="H60" s="7" t="s">
        <v>493</v>
      </c>
      <c r="I60" s="7" t="s">
        <v>494</v>
      </c>
    </row>
    <row r="61" spans="1:9" ht="42" x14ac:dyDescent="0.2">
      <c r="A61" s="7">
        <v>29</v>
      </c>
      <c r="B61" s="7" t="s">
        <v>88</v>
      </c>
      <c r="C61" s="7">
        <v>1</v>
      </c>
      <c r="D61" s="7" t="s">
        <v>267</v>
      </c>
      <c r="E61" s="8" t="s">
        <v>117</v>
      </c>
      <c r="F61" s="8" t="s">
        <v>631</v>
      </c>
      <c r="G61" s="8" t="s">
        <v>632</v>
      </c>
      <c r="H61" s="7" t="s">
        <v>522</v>
      </c>
      <c r="I61" s="7" t="s">
        <v>523</v>
      </c>
    </row>
    <row r="62" spans="1:9" ht="28" x14ac:dyDescent="0.2">
      <c r="A62" s="7">
        <v>30</v>
      </c>
      <c r="B62" s="7" t="s">
        <v>88</v>
      </c>
      <c r="C62" s="7">
        <v>1</v>
      </c>
      <c r="D62" s="7" t="s">
        <v>271</v>
      </c>
      <c r="E62" s="8" t="s">
        <v>121</v>
      </c>
      <c r="F62" s="8" t="s">
        <v>633</v>
      </c>
      <c r="G62" s="8" t="s">
        <v>634</v>
      </c>
      <c r="H62" s="7" t="s">
        <v>525</v>
      </c>
      <c r="I62" s="7" t="s">
        <v>526</v>
      </c>
    </row>
    <row r="63" spans="1:9" ht="28" x14ac:dyDescent="0.2">
      <c r="A63" s="7">
        <v>31</v>
      </c>
      <c r="B63" s="7" t="s">
        <v>88</v>
      </c>
      <c r="C63" s="7">
        <v>1</v>
      </c>
      <c r="D63" s="7" t="s">
        <v>274</v>
      </c>
      <c r="E63" s="8" t="s">
        <v>123</v>
      </c>
      <c r="F63" s="8" t="s">
        <v>633</v>
      </c>
      <c r="G63" s="8" t="s">
        <v>635</v>
      </c>
      <c r="H63" s="7" t="s">
        <v>525</v>
      </c>
      <c r="I63" s="7" t="s">
        <v>526</v>
      </c>
    </row>
    <row r="64" spans="1:9" ht="112" x14ac:dyDescent="0.2">
      <c r="A64" s="7">
        <v>32</v>
      </c>
      <c r="B64" s="7" t="s">
        <v>132</v>
      </c>
      <c r="C64" s="7">
        <v>1</v>
      </c>
      <c r="D64" s="7" t="s">
        <v>278</v>
      </c>
      <c r="E64" s="8" t="s">
        <v>125</v>
      </c>
      <c r="F64" s="8" t="s">
        <v>636</v>
      </c>
      <c r="G64" s="8" t="s">
        <v>637</v>
      </c>
      <c r="H64" s="7" t="s">
        <v>527</v>
      </c>
      <c r="I64" s="7" t="s">
        <v>528</v>
      </c>
    </row>
    <row r="65" spans="1:9" ht="56" x14ac:dyDescent="0.2">
      <c r="A65" s="7">
        <v>33</v>
      </c>
      <c r="B65" s="7" t="s">
        <v>132</v>
      </c>
      <c r="C65" s="7">
        <v>1</v>
      </c>
      <c r="D65" s="7" t="s">
        <v>282</v>
      </c>
      <c r="E65" s="8" t="s">
        <v>129</v>
      </c>
      <c r="F65" s="8" t="s">
        <v>638</v>
      </c>
      <c r="G65" s="8" t="s">
        <v>637</v>
      </c>
      <c r="H65" s="7" t="s">
        <v>529</v>
      </c>
      <c r="I65" s="7" t="s">
        <v>530</v>
      </c>
    </row>
    <row r="66" spans="1:9" ht="42" x14ac:dyDescent="0.2">
      <c r="A66" s="7">
        <v>34</v>
      </c>
      <c r="B66" s="7" t="s">
        <v>132</v>
      </c>
      <c r="C66" s="7">
        <v>2</v>
      </c>
      <c r="D66" s="7" t="s">
        <v>278</v>
      </c>
      <c r="E66" s="8" t="s">
        <v>125</v>
      </c>
      <c r="F66" s="8" t="s">
        <v>639</v>
      </c>
      <c r="G66" s="8" t="s">
        <v>637</v>
      </c>
      <c r="H66" s="7" t="s">
        <v>484</v>
      </c>
      <c r="I66" s="7" t="s">
        <v>485</v>
      </c>
    </row>
    <row r="67" spans="1:9" ht="56" x14ac:dyDescent="0.2">
      <c r="A67" s="7">
        <v>35</v>
      </c>
      <c r="B67" s="7" t="s">
        <v>132</v>
      </c>
      <c r="C67" s="7">
        <v>2</v>
      </c>
      <c r="D67" s="7" t="s">
        <v>278</v>
      </c>
      <c r="E67" s="8" t="s">
        <v>125</v>
      </c>
      <c r="F67" s="8" t="s">
        <v>640</v>
      </c>
      <c r="G67" s="8" t="s">
        <v>637</v>
      </c>
      <c r="H67" s="7" t="s">
        <v>531</v>
      </c>
      <c r="I67" s="7" t="s">
        <v>532</v>
      </c>
    </row>
    <row r="68" spans="1:9" ht="42" x14ac:dyDescent="0.2">
      <c r="A68" s="7">
        <v>36</v>
      </c>
      <c r="B68" s="7" t="s">
        <v>132</v>
      </c>
      <c r="C68" s="7">
        <v>2</v>
      </c>
      <c r="D68" s="7" t="s">
        <v>278</v>
      </c>
      <c r="E68" s="8" t="s">
        <v>125</v>
      </c>
      <c r="F68" s="8" t="s">
        <v>641</v>
      </c>
      <c r="G68" s="8" t="s">
        <v>637</v>
      </c>
      <c r="H68" s="7" t="s">
        <v>533</v>
      </c>
      <c r="I68" s="7" t="s">
        <v>534</v>
      </c>
    </row>
    <row r="69" spans="1:9" ht="42" x14ac:dyDescent="0.2">
      <c r="A69" s="7">
        <v>37</v>
      </c>
      <c r="B69" s="7" t="s">
        <v>132</v>
      </c>
      <c r="C69" s="7">
        <v>2</v>
      </c>
      <c r="D69" s="7" t="s">
        <v>278</v>
      </c>
      <c r="E69" s="8" t="s">
        <v>125</v>
      </c>
      <c r="F69" s="8" t="s">
        <v>642</v>
      </c>
      <c r="G69" s="8" t="s">
        <v>637</v>
      </c>
      <c r="H69" s="7" t="s">
        <v>535</v>
      </c>
      <c r="I69" s="7" t="s">
        <v>536</v>
      </c>
    </row>
    <row r="70" spans="1:9" ht="84" x14ac:dyDescent="0.2">
      <c r="A70" s="7">
        <v>38</v>
      </c>
      <c r="B70" s="7" t="s">
        <v>132</v>
      </c>
      <c r="C70" s="7">
        <v>2</v>
      </c>
      <c r="D70" s="7" t="s">
        <v>278</v>
      </c>
      <c r="E70" s="8" t="s">
        <v>125</v>
      </c>
      <c r="F70" s="8" t="s">
        <v>643</v>
      </c>
      <c r="G70" s="8" t="s">
        <v>637</v>
      </c>
      <c r="H70" s="7" t="s">
        <v>537</v>
      </c>
      <c r="I70" s="7" t="s">
        <v>538</v>
      </c>
    </row>
    <row r="71" spans="1:9" ht="28" x14ac:dyDescent="0.2">
      <c r="A71" s="7">
        <v>39</v>
      </c>
      <c r="B71" s="7" t="s">
        <v>132</v>
      </c>
      <c r="C71" s="7">
        <v>2</v>
      </c>
      <c r="D71" s="7" t="s">
        <v>278</v>
      </c>
      <c r="E71" s="8" t="s">
        <v>125</v>
      </c>
      <c r="F71" s="8" t="s">
        <v>644</v>
      </c>
      <c r="G71" s="8" t="s">
        <v>637</v>
      </c>
      <c r="H71" s="7" t="s">
        <v>539</v>
      </c>
      <c r="I71" s="7" t="s">
        <v>540</v>
      </c>
    </row>
    <row r="72" spans="1:9" ht="319" x14ac:dyDescent="0.2">
      <c r="A72" s="7">
        <v>40</v>
      </c>
      <c r="B72" s="7" t="s">
        <v>132</v>
      </c>
      <c r="C72" s="7">
        <v>3</v>
      </c>
      <c r="D72" s="7" t="s">
        <v>236</v>
      </c>
      <c r="E72" s="8" t="s">
        <v>99</v>
      </c>
      <c r="F72" s="8" t="s">
        <v>645</v>
      </c>
      <c r="G72" s="8" t="s">
        <v>646</v>
      </c>
      <c r="H72" s="7" t="s">
        <v>484</v>
      </c>
      <c r="I72" s="7" t="s">
        <v>485</v>
      </c>
    </row>
    <row r="73" spans="1:9" ht="371" x14ac:dyDescent="0.2">
      <c r="A73" s="7">
        <v>41</v>
      </c>
      <c r="B73" s="7" t="s">
        <v>132</v>
      </c>
      <c r="C73" s="7">
        <v>3</v>
      </c>
      <c r="D73" s="7" t="s">
        <v>647</v>
      </c>
      <c r="E73" s="8" t="s">
        <v>648</v>
      </c>
      <c r="F73" s="8" t="s">
        <v>649</v>
      </c>
      <c r="G73" s="8" t="s">
        <v>646</v>
      </c>
      <c r="H73" s="7" t="s">
        <v>535</v>
      </c>
      <c r="I73" s="7" t="s">
        <v>536</v>
      </c>
    </row>
    <row r="74" spans="1:9" ht="70" x14ac:dyDescent="0.2">
      <c r="A74" s="7">
        <v>42</v>
      </c>
      <c r="B74" s="7" t="s">
        <v>132</v>
      </c>
      <c r="C74" s="7">
        <v>3</v>
      </c>
      <c r="D74" s="7" t="s">
        <v>169</v>
      </c>
      <c r="E74" s="8" t="s">
        <v>52</v>
      </c>
      <c r="F74" s="8" t="s">
        <v>650</v>
      </c>
      <c r="G74" s="8" t="s">
        <v>646</v>
      </c>
      <c r="H74" s="7" t="s">
        <v>541</v>
      </c>
      <c r="I74" s="7" t="s">
        <v>542</v>
      </c>
    </row>
    <row r="75" spans="1:9" ht="182" x14ac:dyDescent="0.2">
      <c r="A75" s="7">
        <v>43</v>
      </c>
      <c r="B75" s="7" t="s">
        <v>132</v>
      </c>
      <c r="C75" s="7">
        <v>3</v>
      </c>
      <c r="D75" s="7" t="s">
        <v>293</v>
      </c>
      <c r="E75" s="8" t="s">
        <v>138</v>
      </c>
      <c r="F75" s="8" t="s">
        <v>651</v>
      </c>
      <c r="G75" s="8" t="s">
        <v>646</v>
      </c>
      <c r="H75" s="7" t="s">
        <v>543</v>
      </c>
      <c r="I75" s="7" t="s">
        <v>544</v>
      </c>
    </row>
    <row r="76" spans="1:9" ht="42" x14ac:dyDescent="0.2">
      <c r="A76" s="7">
        <v>44</v>
      </c>
      <c r="B76" s="7" t="s">
        <v>132</v>
      </c>
      <c r="C76" s="7">
        <v>3</v>
      </c>
      <c r="D76" s="7" t="s">
        <v>169</v>
      </c>
      <c r="E76" s="8" t="s">
        <v>52</v>
      </c>
      <c r="F76" s="8" t="s">
        <v>652</v>
      </c>
      <c r="G76" s="8" t="s">
        <v>646</v>
      </c>
      <c r="H76" s="7" t="s">
        <v>545</v>
      </c>
      <c r="I76" s="7" t="s">
        <v>546</v>
      </c>
    </row>
    <row r="77" spans="1:9" ht="210" x14ac:dyDescent="0.2">
      <c r="A77" s="7">
        <v>45</v>
      </c>
      <c r="B77" s="7" t="s">
        <v>132</v>
      </c>
      <c r="C77" s="7">
        <v>4</v>
      </c>
      <c r="D77" s="7" t="s">
        <v>205</v>
      </c>
      <c r="E77" s="8" t="s">
        <v>79</v>
      </c>
      <c r="F77" s="8" t="s">
        <v>653</v>
      </c>
      <c r="G77" s="8" t="s">
        <v>654</v>
      </c>
      <c r="H77" s="7" t="s">
        <v>547</v>
      </c>
      <c r="I77" s="7" t="s">
        <v>548</v>
      </c>
    </row>
    <row r="78" spans="1:9" ht="28" x14ac:dyDescent="0.2">
      <c r="A78" s="7">
        <v>46</v>
      </c>
      <c r="B78" s="7" t="s">
        <v>141</v>
      </c>
      <c r="C78" s="7">
        <v>2</v>
      </c>
      <c r="D78" s="7" t="s">
        <v>232</v>
      </c>
      <c r="E78" s="8" t="s">
        <v>96</v>
      </c>
      <c r="F78" s="8" t="s">
        <v>655</v>
      </c>
      <c r="G78" s="8" t="s">
        <v>97</v>
      </c>
      <c r="H78" s="7" t="s">
        <v>479</v>
      </c>
      <c r="I78" s="7" t="s">
        <v>480</v>
      </c>
    </row>
    <row r="79" spans="1:9" x14ac:dyDescent="0.2">
      <c r="A79" s="7">
        <v>47</v>
      </c>
      <c r="B79" s="7" t="s">
        <v>141</v>
      </c>
      <c r="C79" s="7">
        <v>2</v>
      </c>
      <c r="D79" s="7" t="s">
        <v>297</v>
      </c>
      <c r="E79" s="8" t="s">
        <v>140</v>
      </c>
      <c r="F79" s="8" t="s">
        <v>656</v>
      </c>
      <c r="G79" s="8" t="s">
        <v>87</v>
      </c>
      <c r="H79" s="7" t="s">
        <v>462</v>
      </c>
      <c r="I79" s="7" t="s">
        <v>463</v>
      </c>
    </row>
    <row r="80" spans="1:9" x14ac:dyDescent="0.2">
      <c r="A80" s="7">
        <v>48</v>
      </c>
      <c r="B80" s="7" t="s">
        <v>141</v>
      </c>
      <c r="C80" s="7">
        <v>2</v>
      </c>
      <c r="D80" s="7" t="s">
        <v>300</v>
      </c>
      <c r="E80" s="8" t="s">
        <v>142</v>
      </c>
      <c r="F80" s="8" t="s">
        <v>657</v>
      </c>
      <c r="G80" s="8" t="s">
        <v>143</v>
      </c>
      <c r="H80" s="7" t="s">
        <v>537</v>
      </c>
      <c r="I80" s="7" t="s">
        <v>538</v>
      </c>
    </row>
    <row r="81" spans="1:9" ht="28" x14ac:dyDescent="0.2">
      <c r="A81" s="7">
        <v>49</v>
      </c>
      <c r="B81" s="7" t="s">
        <v>141</v>
      </c>
      <c r="C81" s="7">
        <v>2</v>
      </c>
      <c r="D81" s="7" t="s">
        <v>205</v>
      </c>
      <c r="E81" s="8" t="s">
        <v>79</v>
      </c>
      <c r="F81" s="8" t="s">
        <v>658</v>
      </c>
      <c r="G81" s="8" t="s">
        <v>80</v>
      </c>
      <c r="H81" s="7" t="s">
        <v>549</v>
      </c>
      <c r="I81" s="7" t="s">
        <v>550</v>
      </c>
    </row>
    <row r="82" spans="1:9" ht="28" x14ac:dyDescent="0.2">
      <c r="A82" s="7">
        <v>49</v>
      </c>
      <c r="B82" s="7" t="s">
        <v>141</v>
      </c>
      <c r="C82" s="7">
        <v>2</v>
      </c>
      <c r="D82" s="7" t="s">
        <v>205</v>
      </c>
      <c r="E82" s="8" t="s">
        <v>79</v>
      </c>
      <c r="F82" s="8" t="s">
        <v>658</v>
      </c>
      <c r="G82" s="8" t="s">
        <v>80</v>
      </c>
      <c r="H82" s="7" t="s">
        <v>551</v>
      </c>
      <c r="I82" s="7" t="s">
        <v>552</v>
      </c>
    </row>
    <row r="83" spans="1:9" ht="28" x14ac:dyDescent="0.2">
      <c r="A83" s="7">
        <v>49</v>
      </c>
      <c r="B83" s="7" t="s">
        <v>141</v>
      </c>
      <c r="C83" s="7">
        <v>2</v>
      </c>
      <c r="D83" s="7" t="s">
        <v>205</v>
      </c>
      <c r="E83" s="8" t="s">
        <v>79</v>
      </c>
      <c r="F83" s="8" t="s">
        <v>658</v>
      </c>
      <c r="G83" s="8" t="s">
        <v>80</v>
      </c>
      <c r="H83" s="7" t="s">
        <v>553</v>
      </c>
      <c r="I83" s="7" t="s">
        <v>548</v>
      </c>
    </row>
    <row r="84" spans="1:9" ht="28" x14ac:dyDescent="0.2">
      <c r="A84" s="7">
        <v>49</v>
      </c>
      <c r="B84" s="7" t="s">
        <v>141</v>
      </c>
      <c r="C84" s="7">
        <v>2</v>
      </c>
      <c r="D84" s="7" t="s">
        <v>205</v>
      </c>
      <c r="E84" s="8" t="s">
        <v>79</v>
      </c>
      <c r="F84" s="8" t="s">
        <v>658</v>
      </c>
      <c r="G84" s="8" t="s">
        <v>80</v>
      </c>
      <c r="H84" s="7" t="s">
        <v>555</v>
      </c>
      <c r="I84" s="7" t="s">
        <v>556</v>
      </c>
    </row>
    <row r="85" spans="1:9" ht="28" x14ac:dyDescent="0.2">
      <c r="A85" s="7">
        <v>50</v>
      </c>
      <c r="B85" s="7" t="s">
        <v>141</v>
      </c>
      <c r="C85" s="7">
        <v>2</v>
      </c>
      <c r="D85" s="7" t="s">
        <v>236</v>
      </c>
      <c r="E85" s="8" t="s">
        <v>99</v>
      </c>
      <c r="F85" s="8" t="s">
        <v>659</v>
      </c>
      <c r="G85" s="8" t="s">
        <v>100</v>
      </c>
      <c r="H85" s="7" t="s">
        <v>484</v>
      </c>
      <c r="I85" s="7" t="s">
        <v>485</v>
      </c>
    </row>
    <row r="86" spans="1:9" ht="28" x14ac:dyDescent="0.2">
      <c r="A86" s="7">
        <v>50</v>
      </c>
      <c r="B86" s="7" t="s">
        <v>141</v>
      </c>
      <c r="C86" s="7">
        <v>2</v>
      </c>
      <c r="D86" s="7" t="s">
        <v>236</v>
      </c>
      <c r="E86" s="8" t="s">
        <v>99</v>
      </c>
      <c r="F86" s="8" t="s">
        <v>659</v>
      </c>
      <c r="G86" s="8" t="s">
        <v>100</v>
      </c>
      <c r="H86" s="7" t="s">
        <v>558</v>
      </c>
      <c r="I86" s="7" t="s">
        <v>559</v>
      </c>
    </row>
    <row r="87" spans="1:9" ht="42" x14ac:dyDescent="0.2">
      <c r="A87" s="7">
        <v>51</v>
      </c>
      <c r="B87" s="7" t="s">
        <v>141</v>
      </c>
      <c r="C87" s="7">
        <v>2</v>
      </c>
      <c r="D87" s="7" t="s">
        <v>289</v>
      </c>
      <c r="E87" s="8" t="s">
        <v>135</v>
      </c>
      <c r="F87" s="8" t="s">
        <v>660</v>
      </c>
      <c r="G87" s="8" t="s">
        <v>136</v>
      </c>
      <c r="H87" s="7" t="s">
        <v>561</v>
      </c>
      <c r="I87" s="7" t="s">
        <v>562</v>
      </c>
    </row>
    <row r="88" spans="1:9" ht="28" x14ac:dyDescent="0.2">
      <c r="A88" s="7">
        <v>52</v>
      </c>
      <c r="B88" s="7" t="s">
        <v>141</v>
      </c>
      <c r="C88" s="7">
        <v>2</v>
      </c>
      <c r="D88" s="7" t="s">
        <v>260</v>
      </c>
      <c r="E88" s="8" t="s">
        <v>113</v>
      </c>
      <c r="F88" s="8" t="s">
        <v>661</v>
      </c>
      <c r="G88" s="8" t="s">
        <v>114</v>
      </c>
      <c r="H88" s="7" t="s">
        <v>563</v>
      </c>
      <c r="I88" s="7" t="s">
        <v>564</v>
      </c>
    </row>
    <row r="89" spans="1:9" ht="56" x14ac:dyDescent="0.2">
      <c r="A89" s="7">
        <v>53</v>
      </c>
      <c r="B89" s="7" t="s">
        <v>141</v>
      </c>
      <c r="C89" s="7">
        <v>2</v>
      </c>
      <c r="D89" s="7" t="s">
        <v>173</v>
      </c>
      <c r="E89" s="8" t="s">
        <v>56</v>
      </c>
      <c r="F89" s="8" t="s">
        <v>662</v>
      </c>
      <c r="G89" s="8" t="s">
        <v>57</v>
      </c>
      <c r="H89" s="7" t="s">
        <v>565</v>
      </c>
      <c r="I89" s="7" t="s">
        <v>566</v>
      </c>
    </row>
    <row r="90" spans="1:9" ht="56" x14ac:dyDescent="0.2">
      <c r="A90" s="7">
        <v>54</v>
      </c>
      <c r="B90" s="7" t="s">
        <v>141</v>
      </c>
      <c r="C90" s="7">
        <v>1</v>
      </c>
      <c r="D90" s="7" t="s">
        <v>304</v>
      </c>
      <c r="E90" s="8" t="s">
        <v>144</v>
      </c>
      <c r="F90" s="8" t="s">
        <v>663</v>
      </c>
      <c r="G90" s="8" t="s">
        <v>664</v>
      </c>
      <c r="H90" s="7" t="s">
        <v>563</v>
      </c>
      <c r="I90" s="7" t="s">
        <v>564</v>
      </c>
    </row>
    <row r="91" spans="1:9" ht="56" x14ac:dyDescent="0.2">
      <c r="A91" s="7">
        <v>55</v>
      </c>
      <c r="B91" s="7" t="s">
        <v>141</v>
      </c>
      <c r="C91" s="7">
        <v>1</v>
      </c>
      <c r="D91" s="7" t="s">
        <v>308</v>
      </c>
      <c r="E91" s="8" t="s">
        <v>146</v>
      </c>
      <c r="F91" s="8" t="s">
        <v>665</v>
      </c>
      <c r="G91" s="8" t="s">
        <v>666</v>
      </c>
      <c r="H91" s="7" t="s">
        <v>567</v>
      </c>
      <c r="I91" s="7" t="s">
        <v>568</v>
      </c>
    </row>
    <row r="92" spans="1:9" ht="28" x14ac:dyDescent="0.2">
      <c r="A92" s="7">
        <v>56</v>
      </c>
      <c r="B92" s="7" t="s">
        <v>393</v>
      </c>
      <c r="C92" s="7">
        <v>1</v>
      </c>
      <c r="D92" s="7" t="s">
        <v>169</v>
      </c>
      <c r="E92" s="8" t="s">
        <v>52</v>
      </c>
      <c r="F92" s="8" t="s">
        <v>667</v>
      </c>
      <c r="G92" s="8" t="s">
        <v>668</v>
      </c>
      <c r="H92" s="7" t="s">
        <v>570</v>
      </c>
      <c r="I92" s="7" t="s">
        <v>571</v>
      </c>
    </row>
    <row r="93" spans="1:9" ht="140" x14ac:dyDescent="0.2">
      <c r="A93" s="7">
        <v>57</v>
      </c>
      <c r="B93" s="7" t="s">
        <v>152</v>
      </c>
      <c r="C93" s="7">
        <v>1</v>
      </c>
      <c r="D93" s="7" t="s">
        <v>669</v>
      </c>
      <c r="E93" s="8" t="s">
        <v>670</v>
      </c>
      <c r="F93" s="8" t="s">
        <v>671</v>
      </c>
      <c r="G93" s="8" t="s">
        <v>672</v>
      </c>
      <c r="H93" s="7" t="s">
        <v>573</v>
      </c>
      <c r="I93" s="7" t="s">
        <v>574</v>
      </c>
    </row>
    <row r="94" spans="1:9" ht="140" x14ac:dyDescent="0.2">
      <c r="A94" s="7">
        <v>58</v>
      </c>
      <c r="B94" s="7" t="s">
        <v>152</v>
      </c>
      <c r="C94" s="7">
        <v>1</v>
      </c>
      <c r="D94" s="7" t="s">
        <v>669</v>
      </c>
      <c r="E94" s="8" t="s">
        <v>670</v>
      </c>
      <c r="F94" s="8" t="s">
        <v>671</v>
      </c>
      <c r="G94" s="8" t="s">
        <v>672</v>
      </c>
      <c r="H94" s="7" t="s">
        <v>575</v>
      </c>
      <c r="I94" s="7" t="s">
        <v>576</v>
      </c>
    </row>
    <row r="95" spans="1:9" ht="140" x14ac:dyDescent="0.2">
      <c r="A95" s="7">
        <v>59</v>
      </c>
      <c r="B95" s="7" t="s">
        <v>152</v>
      </c>
      <c r="C95" s="7">
        <v>1</v>
      </c>
      <c r="D95" s="7" t="s">
        <v>669</v>
      </c>
      <c r="E95" s="8" t="s">
        <v>670</v>
      </c>
      <c r="F95" s="8" t="s">
        <v>671</v>
      </c>
      <c r="G95" s="8" t="s">
        <v>672</v>
      </c>
      <c r="H95" s="7" t="s">
        <v>577</v>
      </c>
      <c r="I95" s="7" t="s">
        <v>578</v>
      </c>
    </row>
    <row r="96" spans="1:9" ht="56" x14ac:dyDescent="0.2">
      <c r="A96" s="7">
        <v>60</v>
      </c>
      <c r="B96" s="7" t="s">
        <v>152</v>
      </c>
      <c r="C96" s="7">
        <v>2</v>
      </c>
      <c r="D96" s="7" t="s">
        <v>673</v>
      </c>
      <c r="E96" s="8" t="s">
        <v>674</v>
      </c>
      <c r="F96" s="8" t="s">
        <v>675</v>
      </c>
      <c r="G96" s="8" t="s">
        <v>676</v>
      </c>
      <c r="H96" s="7" t="s">
        <v>579</v>
      </c>
      <c r="I96" s="7" t="s">
        <v>551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Canonical_Claims</vt:lpstr>
      <vt:lpstr>Atomic_Claims</vt:lpstr>
      <vt:lpstr>Edges</vt:lpstr>
      <vt:lpstr>Claims_annotated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Sophie Huebler</cp:lastModifiedBy>
  <cp:revision>0</cp:revision>
  <dcterms:created xsi:type="dcterms:W3CDTF">2026-06-25T01:54:47Z</dcterms:created>
  <dcterms:modified xsi:type="dcterms:W3CDTF">2026-06-25T20:06:52Z</dcterms:modified>
  <dc:language>en-US</dc:language>
</cp:coreProperties>
</file>